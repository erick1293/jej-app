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/>
  <mc:AlternateContent xmlns:mc="http://schemas.openxmlformats.org/markup-compatibility/2006">
    <mc:Choice Requires="x15">
      <x15ac:absPath xmlns:x15ac="http://schemas.microsoft.com/office/spreadsheetml/2010/11/ac" url="https://jejcl-my.sharepoint.com/personal/asalinasfre_jej_cl/Documents/CC650 JEJ/02. Carguío y Vibraciones/364.- Z-48 C41-43 3ra fase Esm NT-309/"/>
    </mc:Choice>
  </mc:AlternateContent>
  <xr:revisionPtr revIDLastSave="0" documentId="8_{F18DA94A-0C3D-3940-948E-AE9D352F3D4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1" sheetId="6" r:id="rId1"/>
    <sheet name="JEJ" sheetId="5" r:id="rId2"/>
  </sheets>
  <definedNames>
    <definedName name="_xlnm._FilterDatabase" localSheetId="1" hidden="1">JEJ!$B$15:$B$143</definedName>
    <definedName name="_xlnm.Print_Area" localSheetId="1">JEJ!$B$1:$X$143</definedName>
    <definedName name="_xlnm.Print_Titles" localSheetId="1">JEJ!$4:$4</definedName>
    <definedName name="Z_1C4D8BDC_C480_45E4_96CA_CEB66E1C55C9_.wvu.PrintArea" localSheetId="1" hidden="1">JEJ!$B$1:$T$143</definedName>
    <definedName name="Z_1C4D8BDC_C480_45E4_96CA_CEB66E1C55C9_.wvu.PrintTitles" localSheetId="1" hidden="1">JEJ!$4:$4</definedName>
    <definedName name="Z_3E8DE444_E750_4CD6_A7EB_BB0CD4A4469F_.wvu.PrintArea" localSheetId="1" hidden="1">JEJ!$B$1:$T$143</definedName>
    <definedName name="Z_3E8DE444_E750_4CD6_A7EB_BB0CD4A4469F_.wvu.PrintTitles" localSheetId="1" hidden="1">JEJ!$4:$4</definedName>
    <definedName name="Z_7C0283FF_2B93_496F_87E4_6E1870BB64E4_.wvu.PrintArea" localSheetId="1" hidden="1">JEJ!$B$1:$T$143</definedName>
    <definedName name="Z_7C0283FF_2B93_496F_87E4_6E1870BB64E4_.wvu.PrintTitles" localSheetId="1" hidden="1">JEJ!$4:$4</definedName>
    <definedName name="Z_A0012712_DB49_4D87_9FE3_C63336A64E80_.wvu.PrintArea" localSheetId="1" hidden="1">JEJ!$B$1:$T$143</definedName>
    <definedName name="Z_A0012712_DB49_4D87_9FE3_C63336A64E80_.wvu.PrintTitles" localSheetId="1" hidden="1">JEJ!$4:$4</definedName>
    <definedName name="Z_B0E908B2_CADA_4CE9_8457_AC2FAA9A5234_.wvu.PrintArea" localSheetId="1" hidden="1">JEJ!$B$1:$T$143</definedName>
    <definedName name="Z_B0E908B2_CADA_4CE9_8457_AC2FAA9A5234_.wvu.PrintTitles" localSheetId="1" hidden="1">JEJ!$4:$4</definedName>
    <definedName name="Z_C249970D_876A_4076_B7E8_3FB99D323B9B_.wvu.PrintArea" localSheetId="1" hidden="1">JEJ!$B$1:$T$143</definedName>
    <definedName name="Z_C249970D_876A_4076_B7E8_3FB99D323B9B_.wvu.PrintTitles" localSheetId="1" hidden="1">JEJ!$4:$4</definedName>
    <definedName name="Z_DD01898E_1B73_4B19_A1DE_D95BF163E838_.wvu.PrintArea" localSheetId="1" hidden="1">JEJ!$B$1:$T$143</definedName>
    <definedName name="Z_DD01898E_1B73_4B19_A1DE_D95BF163E838_.wvu.PrintTitles" localSheetId="1" hidden="1">JEJ!$4:$4</definedName>
    <definedName name="Z_E2015BE2_6027_4992_A0CB_E4BBE16F6656_.wvu.PrintArea" localSheetId="1" hidden="1">JEJ!$B$1:$T$143</definedName>
    <definedName name="Z_E2015BE2_6027_4992_A0CB_E4BBE16F6656_.wvu.PrintTitles" localSheetId="1" hidden="1">JEJ!$4:$4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5" l="1"/>
  <c r="I17" i="5"/>
  <c r="H18" i="5"/>
  <c r="I18" i="5"/>
  <c r="H19" i="5"/>
  <c r="I19" i="5"/>
  <c r="H21" i="5"/>
  <c r="I21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H33" i="5"/>
  <c r="I33" i="5"/>
  <c r="H34" i="5"/>
  <c r="I34" i="5"/>
  <c r="H35" i="5"/>
  <c r="I35" i="5"/>
  <c r="H36" i="5"/>
  <c r="I36" i="5"/>
  <c r="H37" i="5"/>
  <c r="I37" i="5"/>
  <c r="H38" i="5"/>
  <c r="I38" i="5"/>
  <c r="H39" i="5"/>
  <c r="I39" i="5"/>
  <c r="H40" i="5"/>
  <c r="I40" i="5"/>
  <c r="H41" i="5"/>
  <c r="I41" i="5"/>
  <c r="H42" i="5"/>
  <c r="I42" i="5"/>
  <c r="H43" i="5"/>
  <c r="I43" i="5"/>
  <c r="H44" i="5"/>
  <c r="I44" i="5"/>
  <c r="H45" i="5"/>
  <c r="I45" i="5"/>
  <c r="H46" i="5"/>
  <c r="I46" i="5"/>
  <c r="H47" i="5"/>
  <c r="I47" i="5"/>
  <c r="H48" i="5"/>
  <c r="I48" i="5"/>
  <c r="H49" i="5"/>
  <c r="I49" i="5"/>
  <c r="H50" i="5"/>
  <c r="I50" i="5"/>
  <c r="H51" i="5"/>
  <c r="I51" i="5"/>
  <c r="H52" i="5"/>
  <c r="I52" i="5"/>
  <c r="H53" i="5"/>
  <c r="I53" i="5"/>
  <c r="H54" i="5"/>
  <c r="I54" i="5"/>
  <c r="H55" i="5"/>
  <c r="I55" i="5"/>
  <c r="H56" i="5"/>
  <c r="I56" i="5"/>
  <c r="H57" i="5"/>
  <c r="I57" i="5"/>
  <c r="H58" i="5"/>
  <c r="I58" i="5"/>
  <c r="H59" i="5"/>
  <c r="I59" i="5"/>
  <c r="H60" i="5"/>
  <c r="I60" i="5"/>
  <c r="H61" i="5"/>
  <c r="I61" i="5"/>
  <c r="H62" i="5"/>
  <c r="I62" i="5"/>
  <c r="H63" i="5"/>
  <c r="I63" i="5"/>
  <c r="H64" i="5"/>
  <c r="I64" i="5"/>
  <c r="H65" i="5"/>
  <c r="I65" i="5"/>
  <c r="H66" i="5"/>
  <c r="I66" i="5"/>
  <c r="H67" i="5"/>
  <c r="I67" i="5"/>
  <c r="H68" i="5"/>
  <c r="I68" i="5"/>
  <c r="H69" i="5"/>
  <c r="I69" i="5"/>
  <c r="H70" i="5"/>
  <c r="I70" i="5"/>
  <c r="H71" i="5"/>
  <c r="I71" i="5"/>
  <c r="H72" i="5"/>
  <c r="I72" i="5"/>
  <c r="H73" i="5"/>
  <c r="I73" i="5"/>
  <c r="H74" i="5"/>
  <c r="I74" i="5"/>
  <c r="H75" i="5"/>
  <c r="I75" i="5"/>
  <c r="H76" i="5"/>
  <c r="I76" i="5"/>
  <c r="H77" i="5"/>
  <c r="I77" i="5"/>
  <c r="H78" i="5"/>
  <c r="I78" i="5"/>
  <c r="H79" i="5"/>
  <c r="I79" i="5"/>
  <c r="H80" i="5"/>
  <c r="I80" i="5"/>
  <c r="H81" i="5"/>
  <c r="I81" i="5"/>
  <c r="H82" i="5"/>
  <c r="I82" i="5"/>
  <c r="H83" i="5"/>
  <c r="I83" i="5"/>
  <c r="H16" i="5"/>
  <c r="I16" i="5"/>
  <c r="S6" i="5"/>
  <c r="AD14" i="6"/>
  <c r="AE15" i="6"/>
  <c r="AF10" i="5"/>
  <c r="AF9" i="5"/>
  <c r="AF8" i="5"/>
  <c r="AF7" i="5"/>
  <c r="AF6" i="5"/>
  <c r="AF5" i="5"/>
  <c r="AA5" i="5"/>
  <c r="H12" i="5"/>
  <c r="H11" i="5"/>
  <c r="S13" i="5"/>
  <c r="D10" i="5"/>
  <c r="AJ83" i="5"/>
  <c r="AF17" i="5"/>
  <c r="AH17" i="5"/>
  <c r="AJ17" i="5"/>
  <c r="AL17" i="5"/>
  <c r="AN17" i="5" a="1"/>
  <c r="AF18" i="5"/>
  <c r="AH18" i="5"/>
  <c r="AJ18" i="5"/>
  <c r="AL18" i="5"/>
  <c r="AN18" i="5" a="1"/>
  <c r="AF19" i="5"/>
  <c r="AH19" i="5"/>
  <c r="AJ19" i="5"/>
  <c r="AL19" i="5"/>
  <c r="AN19" i="5" a="1"/>
  <c r="AF20" i="5"/>
  <c r="AH20" i="5"/>
  <c r="AJ20" i="5"/>
  <c r="AL20" i="5"/>
  <c r="AN20" i="5" a="1"/>
  <c r="AF21" i="5"/>
  <c r="AH21" i="5"/>
  <c r="AJ21" i="5"/>
  <c r="AL21" i="5"/>
  <c r="AN21" i="5" a="1"/>
  <c r="AF22" i="5"/>
  <c r="AH22" i="5"/>
  <c r="AJ22" i="5"/>
  <c r="AL22" i="5"/>
  <c r="AN22" i="5" a="1"/>
  <c r="AF23" i="5"/>
  <c r="AH23" i="5"/>
  <c r="AJ23" i="5"/>
  <c r="AL23" i="5"/>
  <c r="AN23" i="5" a="1"/>
  <c r="AF24" i="5"/>
  <c r="AH24" i="5"/>
  <c r="AJ24" i="5"/>
  <c r="AL24" i="5"/>
  <c r="AN24" i="5" a="1"/>
  <c r="AF25" i="5"/>
  <c r="AH25" i="5"/>
  <c r="AJ25" i="5"/>
  <c r="AL25" i="5"/>
  <c r="AN25" i="5" a="1"/>
  <c r="AF26" i="5"/>
  <c r="AH26" i="5"/>
  <c r="AJ26" i="5"/>
  <c r="AL26" i="5"/>
  <c r="AN26" i="5" a="1"/>
  <c r="AF27" i="5"/>
  <c r="AH27" i="5"/>
  <c r="AJ27" i="5"/>
  <c r="AL27" i="5"/>
  <c r="AN27" i="5" a="1"/>
  <c r="AF28" i="5"/>
  <c r="AH28" i="5"/>
  <c r="AJ28" i="5"/>
  <c r="AL28" i="5"/>
  <c r="AN28" i="5" a="1"/>
  <c r="AF29" i="5"/>
  <c r="AH29" i="5"/>
  <c r="AJ29" i="5"/>
  <c r="AL29" i="5"/>
  <c r="AN29" i="5" a="1"/>
  <c r="AF30" i="5"/>
  <c r="AH30" i="5"/>
  <c r="AJ30" i="5"/>
  <c r="AL30" i="5"/>
  <c r="AN30" i="5" a="1"/>
  <c r="AF31" i="5"/>
  <c r="AH31" i="5"/>
  <c r="AJ31" i="5"/>
  <c r="AL31" i="5"/>
  <c r="AN31" i="5" a="1"/>
  <c r="AF32" i="5"/>
  <c r="AH32" i="5"/>
  <c r="AJ32" i="5"/>
  <c r="AL32" i="5"/>
  <c r="AN32" i="5" a="1"/>
  <c r="AF33" i="5"/>
  <c r="AH33" i="5"/>
  <c r="AJ33" i="5"/>
  <c r="AL33" i="5"/>
  <c r="AN33" i="5" a="1"/>
  <c r="AF34" i="5"/>
  <c r="AH34" i="5"/>
  <c r="AJ34" i="5"/>
  <c r="AL34" i="5"/>
  <c r="AN34" i="5" a="1"/>
  <c r="AF35" i="5"/>
  <c r="AH35" i="5"/>
  <c r="AJ35" i="5"/>
  <c r="AL35" i="5"/>
  <c r="AN35" i="5" a="1"/>
  <c r="AF36" i="5"/>
  <c r="AH36" i="5"/>
  <c r="AJ36" i="5"/>
  <c r="AL36" i="5"/>
  <c r="AN36" i="5" a="1"/>
  <c r="AF37" i="5"/>
  <c r="AH37" i="5"/>
  <c r="AJ37" i="5"/>
  <c r="AL37" i="5"/>
  <c r="AN37" i="5" a="1"/>
  <c r="AF38" i="5"/>
  <c r="AH38" i="5"/>
  <c r="AJ38" i="5"/>
  <c r="AL38" i="5"/>
  <c r="AN38" i="5" a="1"/>
  <c r="AF39" i="5"/>
  <c r="AH39" i="5"/>
  <c r="AJ39" i="5"/>
  <c r="AL39" i="5"/>
  <c r="AN39" i="5" a="1"/>
  <c r="AF40" i="5"/>
  <c r="AH40" i="5"/>
  <c r="AJ40" i="5"/>
  <c r="AL40" i="5"/>
  <c r="AN40" i="5" a="1"/>
  <c r="AF41" i="5"/>
  <c r="AH41" i="5"/>
  <c r="AJ41" i="5"/>
  <c r="AL41" i="5"/>
  <c r="AN41" i="5" a="1"/>
  <c r="AF42" i="5"/>
  <c r="AH42" i="5"/>
  <c r="AJ42" i="5"/>
  <c r="AL42" i="5"/>
  <c r="AN42" i="5" a="1"/>
  <c r="AF43" i="5"/>
  <c r="AH43" i="5"/>
  <c r="AJ43" i="5"/>
  <c r="AL43" i="5"/>
  <c r="AN43" i="5" a="1"/>
  <c r="AF44" i="5"/>
  <c r="AH44" i="5"/>
  <c r="AJ44" i="5"/>
  <c r="AL44" i="5"/>
  <c r="AN44" i="5" a="1"/>
  <c r="AF45" i="5"/>
  <c r="AH45" i="5"/>
  <c r="AJ45" i="5"/>
  <c r="AL45" i="5"/>
  <c r="AN45" i="5" a="1"/>
  <c r="AF46" i="5"/>
  <c r="AH46" i="5"/>
  <c r="AJ46" i="5"/>
  <c r="AL46" i="5"/>
  <c r="AN46" i="5" a="1"/>
  <c r="AF47" i="5"/>
  <c r="AH47" i="5"/>
  <c r="AJ47" i="5"/>
  <c r="AL47" i="5"/>
  <c r="AN47" i="5" a="1"/>
  <c r="AF48" i="5"/>
  <c r="AH48" i="5"/>
  <c r="AJ48" i="5"/>
  <c r="AL48" i="5"/>
  <c r="AN48" i="5" a="1"/>
  <c r="AF49" i="5"/>
  <c r="AH49" i="5"/>
  <c r="AJ49" i="5"/>
  <c r="AL49" i="5"/>
  <c r="AN49" i="5" a="1"/>
  <c r="AF50" i="5"/>
  <c r="AH50" i="5"/>
  <c r="AJ50" i="5"/>
  <c r="AL50" i="5"/>
  <c r="AN50" i="5" a="1"/>
  <c r="AF51" i="5"/>
  <c r="AH51" i="5"/>
  <c r="AJ51" i="5"/>
  <c r="AL51" i="5"/>
  <c r="AN51" i="5" a="1"/>
  <c r="AF52" i="5"/>
  <c r="AH52" i="5"/>
  <c r="AJ52" i="5"/>
  <c r="AL52" i="5"/>
  <c r="AN52" i="5" a="1"/>
  <c r="AF53" i="5"/>
  <c r="AH53" i="5"/>
  <c r="AJ53" i="5"/>
  <c r="AL53" i="5"/>
  <c r="AN53" i="5" a="1"/>
  <c r="AF54" i="5"/>
  <c r="AH54" i="5"/>
  <c r="AJ54" i="5"/>
  <c r="AL54" i="5"/>
  <c r="AN54" i="5" a="1"/>
  <c r="AF55" i="5"/>
  <c r="AH55" i="5"/>
  <c r="AJ55" i="5"/>
  <c r="AL55" i="5"/>
  <c r="AN55" i="5" a="1"/>
  <c r="AF56" i="5"/>
  <c r="AH56" i="5"/>
  <c r="AJ56" i="5"/>
  <c r="AL56" i="5"/>
  <c r="AN56" i="5" a="1"/>
  <c r="AF57" i="5"/>
  <c r="AH57" i="5"/>
  <c r="AJ57" i="5"/>
  <c r="AL57" i="5"/>
  <c r="AN57" i="5" a="1"/>
  <c r="AF58" i="5"/>
  <c r="AH58" i="5"/>
  <c r="AJ58" i="5"/>
  <c r="AL58" i="5"/>
  <c r="AN58" i="5" a="1"/>
  <c r="AF59" i="5"/>
  <c r="AH59" i="5"/>
  <c r="AJ59" i="5"/>
  <c r="AL59" i="5"/>
  <c r="AN59" i="5" a="1"/>
  <c r="AF60" i="5"/>
  <c r="AH60" i="5"/>
  <c r="AJ60" i="5"/>
  <c r="AL60" i="5"/>
  <c r="AN60" i="5" a="1"/>
  <c r="AF61" i="5"/>
  <c r="AH61" i="5"/>
  <c r="AJ61" i="5"/>
  <c r="AL61" i="5"/>
  <c r="AN61" i="5" a="1"/>
  <c r="AF62" i="5"/>
  <c r="AH62" i="5"/>
  <c r="AJ62" i="5"/>
  <c r="AL62" i="5"/>
  <c r="AN62" i="5" a="1"/>
  <c r="AF63" i="5"/>
  <c r="AH63" i="5"/>
  <c r="AJ63" i="5"/>
  <c r="AL63" i="5"/>
  <c r="AN63" i="5" a="1"/>
  <c r="AF64" i="5"/>
  <c r="AH64" i="5"/>
  <c r="AJ64" i="5"/>
  <c r="AL64" i="5"/>
  <c r="AN64" i="5" a="1"/>
  <c r="AF65" i="5"/>
  <c r="AH65" i="5"/>
  <c r="AJ65" i="5"/>
  <c r="AL65" i="5"/>
  <c r="AN65" i="5" a="1"/>
  <c r="AF66" i="5"/>
  <c r="AH66" i="5"/>
  <c r="AJ66" i="5"/>
  <c r="AL66" i="5"/>
  <c r="AN66" i="5" a="1"/>
  <c r="AF67" i="5"/>
  <c r="AH67" i="5"/>
  <c r="AJ67" i="5"/>
  <c r="AL67" i="5"/>
  <c r="AN67" i="5" a="1"/>
  <c r="AF68" i="5"/>
  <c r="AH68" i="5"/>
  <c r="AJ68" i="5"/>
  <c r="AL68" i="5"/>
  <c r="AN68" i="5" a="1"/>
  <c r="AF69" i="5"/>
  <c r="AH69" i="5"/>
  <c r="AJ69" i="5"/>
  <c r="AL69" i="5"/>
  <c r="AN69" i="5" a="1"/>
  <c r="AF70" i="5"/>
  <c r="AH70" i="5"/>
  <c r="AJ70" i="5"/>
  <c r="AL70" i="5"/>
  <c r="AN70" i="5" a="1"/>
  <c r="AF71" i="5"/>
  <c r="AH71" i="5"/>
  <c r="AJ71" i="5"/>
  <c r="AL71" i="5"/>
  <c r="AN71" i="5" a="1"/>
  <c r="AF72" i="5"/>
  <c r="AH72" i="5"/>
  <c r="AJ72" i="5"/>
  <c r="AL72" i="5"/>
  <c r="AN72" i="5" a="1"/>
  <c r="AF73" i="5"/>
  <c r="AH73" i="5"/>
  <c r="AJ73" i="5"/>
  <c r="AL73" i="5"/>
  <c r="AN73" i="5" a="1"/>
  <c r="AF74" i="5"/>
  <c r="AH74" i="5"/>
  <c r="AJ74" i="5"/>
  <c r="AL74" i="5"/>
  <c r="AN74" i="5" a="1"/>
  <c r="AF75" i="5"/>
  <c r="AH75" i="5"/>
  <c r="AJ75" i="5"/>
  <c r="AL75" i="5"/>
  <c r="AN75" i="5" a="1"/>
  <c r="AF76" i="5"/>
  <c r="AH76" i="5"/>
  <c r="AJ76" i="5"/>
  <c r="AL76" i="5"/>
  <c r="AN76" i="5" a="1"/>
  <c r="AF77" i="5"/>
  <c r="AH77" i="5"/>
  <c r="AJ77" i="5"/>
  <c r="AL77" i="5"/>
  <c r="AN77" i="5" a="1"/>
  <c r="AF78" i="5"/>
  <c r="AH78" i="5"/>
  <c r="AJ78" i="5"/>
  <c r="AL78" i="5"/>
  <c r="AN78" i="5" a="1"/>
  <c r="AF79" i="5"/>
  <c r="AH79" i="5"/>
  <c r="AJ79" i="5"/>
  <c r="AL79" i="5"/>
  <c r="AN79" i="5" a="1"/>
  <c r="AF80" i="5"/>
  <c r="AH80" i="5"/>
  <c r="AJ80" i="5"/>
  <c r="AL80" i="5"/>
  <c r="AN80" i="5" a="1"/>
  <c r="AF81" i="5"/>
  <c r="AH81" i="5"/>
  <c r="AJ81" i="5"/>
  <c r="AL81" i="5"/>
  <c r="AN81" i="5" a="1"/>
  <c r="AF82" i="5"/>
  <c r="AH82" i="5"/>
  <c r="AJ82" i="5"/>
  <c r="AL82" i="5"/>
  <c r="AN82" i="5" a="1"/>
  <c r="AF83" i="5"/>
  <c r="AH83" i="5"/>
  <c r="AL83" i="5"/>
  <c r="AN83" i="5" a="1"/>
  <c r="S5" i="5"/>
  <c r="AN16" i="5" a="1"/>
  <c r="AL16" i="5"/>
  <c r="AJ16" i="5"/>
  <c r="AH16" i="5"/>
  <c r="AF16" i="5"/>
  <c r="S12" i="5"/>
  <c r="R13" i="5"/>
  <c r="S10" i="5"/>
  <c r="S11" i="5"/>
  <c r="S9" i="5"/>
  <c r="S8" i="5"/>
  <c r="S7" i="5"/>
  <c r="AC13" i="6"/>
  <c r="AD13" i="6"/>
  <c r="AC14" i="6"/>
  <c r="AD9" i="6"/>
  <c r="AD7" i="6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16" i="5"/>
  <c r="R14" i="5"/>
  <c r="S14" i="5"/>
  <c r="AF13" i="6"/>
  <c r="AF15" i="6"/>
  <c r="AF17" i="6"/>
  <c r="AD22" i="6"/>
  <c r="AC22" i="6"/>
  <c r="AE13" i="6"/>
  <c r="AE17" i="6"/>
  <c r="AN83" i="5"/>
  <c r="AN82" i="5"/>
  <c r="AN81" i="5"/>
  <c r="AN80" i="5"/>
  <c r="AN79" i="5"/>
  <c r="AN78" i="5"/>
  <c r="AN77" i="5"/>
  <c r="AN76" i="5"/>
  <c r="AN75" i="5"/>
  <c r="AN74" i="5"/>
  <c r="AN73" i="5"/>
  <c r="AN72" i="5"/>
  <c r="AN71" i="5"/>
  <c r="AN70" i="5"/>
  <c r="AN69" i="5"/>
  <c r="AN68" i="5"/>
  <c r="AN67" i="5"/>
  <c r="AN66" i="5"/>
  <c r="AN65" i="5"/>
  <c r="AN64" i="5"/>
  <c r="AN63" i="5"/>
  <c r="AN62" i="5"/>
  <c r="AN61" i="5"/>
  <c r="AN60" i="5"/>
  <c r="AN59" i="5"/>
  <c r="AN58" i="5"/>
  <c r="AN57" i="5"/>
  <c r="AN56" i="5"/>
  <c r="AN55" i="5"/>
  <c r="AN54" i="5"/>
  <c r="AN53" i="5"/>
  <c r="AN52" i="5"/>
  <c r="AN51" i="5"/>
  <c r="AN50" i="5"/>
  <c r="AN49" i="5"/>
  <c r="AN48" i="5"/>
  <c r="AN47" i="5"/>
  <c r="AN46" i="5"/>
  <c r="AN45" i="5"/>
  <c r="AN44" i="5"/>
  <c r="AN43" i="5"/>
  <c r="AN42" i="5"/>
  <c r="AN41" i="5"/>
  <c r="AN40" i="5"/>
  <c r="AN39" i="5"/>
  <c r="AN38" i="5"/>
  <c r="AN37" i="5"/>
  <c r="AN36" i="5"/>
  <c r="AN35" i="5"/>
  <c r="AN34" i="5"/>
  <c r="AN33" i="5"/>
  <c r="AN32" i="5"/>
  <c r="AN31" i="5"/>
  <c r="AN30" i="5"/>
  <c r="AN29" i="5"/>
  <c r="AN28" i="5"/>
  <c r="AN27" i="5"/>
  <c r="AN26" i="5"/>
  <c r="AN25" i="5"/>
  <c r="AN24" i="5"/>
  <c r="AN23" i="5"/>
  <c r="AN22" i="5"/>
  <c r="AN21" i="5"/>
  <c r="AN20" i="5"/>
  <c r="AN19" i="5"/>
  <c r="AN18" i="5"/>
  <c r="AN17" i="5"/>
  <c r="AN1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CC650</author>
  </authors>
  <commentList>
    <comment ref="AP15" authorId="0" shapeId="0" xr:uid="{EA700DA3-EDA7-4165-8C0F-4D50ABD836B0}">
      <text>
        <r>
          <rPr>
            <b/>
            <sz val="16"/>
            <color indexed="81"/>
            <rFont val="Tahoma"/>
            <family val="2"/>
          </rPr>
          <t>Usuario CC650:</t>
        </r>
        <r>
          <rPr>
            <sz val="16"/>
            <color indexed="81"/>
            <rFont val="Tahoma"/>
            <family val="2"/>
          </rPr>
          <t xml:space="preserve">
Debe ser 0.3m más arriba que la Long. Al Terminar Cama.</t>
        </r>
      </text>
    </comment>
    <comment ref="AR15" authorId="0" shapeId="0" xr:uid="{F6703451-24ED-4FAB-8E15-8D6ADC6605B5}">
      <text>
        <r>
          <rPr>
            <b/>
            <sz val="16"/>
            <color indexed="81"/>
            <rFont val="Tahoma"/>
            <family val="2"/>
          </rPr>
          <t>Usuario CC650:</t>
        </r>
        <r>
          <rPr>
            <sz val="16"/>
            <color indexed="81"/>
            <rFont val="Tahoma"/>
            <family val="2"/>
          </rPr>
          <t xml:space="preserve">
Debe ser 0.3m más arriba que la Long. Al Terminar Carga Intermedia.</t>
        </r>
      </text>
    </comment>
    <comment ref="AT15" authorId="0" shapeId="0" xr:uid="{ACD18115-930F-40B9-9723-BE123C517729}">
      <text>
        <r>
          <rPr>
            <b/>
            <sz val="16"/>
            <color indexed="81"/>
            <rFont val="Tahoma"/>
            <family val="2"/>
          </rPr>
          <t>Usuario CC650:</t>
        </r>
        <r>
          <rPr>
            <sz val="16"/>
            <color indexed="81"/>
            <rFont val="Tahoma"/>
            <family val="2"/>
          </rPr>
          <t xml:space="preserve">
Altura a la que se Ubica el retenedor.</t>
        </r>
      </text>
    </comment>
    <comment ref="AU15" authorId="0" shapeId="0" xr:uid="{A71FB8D5-FF3C-4ACA-8886-1AA886B12A2C}">
      <text>
        <r>
          <rPr>
            <b/>
            <sz val="16"/>
            <color indexed="81"/>
            <rFont val="Tahoma"/>
            <family val="2"/>
          </rPr>
          <t>Usuario CC650:</t>
        </r>
        <r>
          <rPr>
            <sz val="16"/>
            <color indexed="81"/>
            <rFont val="Tahoma"/>
            <family val="2"/>
          </rPr>
          <t xml:space="preserve">
Es la misma que el retenedor, cuándo hay retenedor.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<sst xmlns="http://schemas.openxmlformats.org/spreadsheetml/2006/main" count="300" uniqueCount="210">
  <si>
    <t>J. E. J. INGENIERÍA S. A. CONTRATO N° 4600026097</t>
  </si>
  <si>
    <t>SERVICIO QA/QC OPERACIONES DE PERFORACIÓN Y TRONADURA</t>
  </si>
  <si>
    <t>HOJA DE TERRENO SEGUIMIENTO AL CARGUIO</t>
  </si>
  <si>
    <t>PARADA</t>
  </si>
  <si>
    <t>TIRO</t>
  </si>
  <si>
    <t>CANT. RETENEDORES (GREDAD)</t>
  </si>
  <si>
    <t>N° PERA</t>
  </si>
  <si>
    <t>TIPO APD</t>
  </si>
  <si>
    <t>ESTADO TIRO</t>
  </si>
  <si>
    <t>TIRO CON AGUA</t>
  </si>
  <si>
    <t>TIRO NEGATIVO ó POSITIVO</t>
  </si>
  <si>
    <t>Especial</t>
  </si>
  <si>
    <t>Sano</t>
  </si>
  <si>
    <t>Roto</t>
  </si>
  <si>
    <t>Cortado</t>
  </si>
  <si>
    <t>Perdido</t>
  </si>
  <si>
    <t>Agrietado</t>
  </si>
  <si>
    <t>Seco</t>
  </si>
  <si>
    <t>Agua</t>
  </si>
  <si>
    <t>Agua Dinamica</t>
  </si>
  <si>
    <t>Negativo</t>
  </si>
  <si>
    <t>Positivo</t>
  </si>
  <si>
    <t>Metros Cama ANFO</t>
  </si>
  <si>
    <t>JEFE TURNO JEJ</t>
  </si>
  <si>
    <t>ENCARGADO SEGUIMIENTO</t>
  </si>
  <si>
    <t>Victor Hernández</t>
  </si>
  <si>
    <t>Carlos castro</t>
  </si>
  <si>
    <t>Esmeralda</t>
  </si>
  <si>
    <t>Andesita</t>
  </si>
  <si>
    <t>Diamante</t>
  </si>
  <si>
    <t>NNM</t>
  </si>
  <si>
    <t>TT8</t>
  </si>
  <si>
    <t>Pilar Norte</t>
  </si>
  <si>
    <t>A</t>
  </si>
  <si>
    <t>B</t>
  </si>
  <si>
    <t>ARAÑA EN CEBO</t>
  </si>
  <si>
    <t>No</t>
  </si>
  <si>
    <t>Si</t>
  </si>
  <si>
    <t>Corto</t>
  </si>
  <si>
    <t>Fecha</t>
  </si>
  <si>
    <t>Hector Flores</t>
  </si>
  <si>
    <t>Raimundo Silva</t>
  </si>
  <si>
    <t>Alexis Salinas</t>
  </si>
  <si>
    <t>Nicolas Escudero</t>
  </si>
  <si>
    <t>Alex muñoz</t>
  </si>
  <si>
    <t>Mina</t>
  </si>
  <si>
    <t>Responsable Carguio DET</t>
  </si>
  <si>
    <t>Estrecho</t>
  </si>
  <si>
    <t>Altura Geófono [m]</t>
  </si>
  <si>
    <t>MINA</t>
  </si>
  <si>
    <t>TURNO</t>
  </si>
  <si>
    <t>Supervisor JeJ</t>
  </si>
  <si>
    <t>Encargado Seguimiento JeJ</t>
  </si>
  <si>
    <t>Supervisor DET</t>
  </si>
  <si>
    <t>WebGen</t>
  </si>
  <si>
    <t>H Llegada JeJ a Postura</t>
  </si>
  <si>
    <t>H Salida JeJ de Postura</t>
  </si>
  <si>
    <t>H Llegada PyT a Postura</t>
  </si>
  <si>
    <t>H Inicio Carguío</t>
  </si>
  <si>
    <t>H Fin Carguío</t>
  </si>
  <si>
    <t>H Salida PyT de Postura</t>
  </si>
  <si>
    <t>Tiempo en Postura</t>
  </si>
  <si>
    <t>Tiempo en Carguío</t>
  </si>
  <si>
    <t>Ubicación de Geófono</t>
  </si>
  <si>
    <t>Distancia al Geófono [m]</t>
  </si>
  <si>
    <t>Diámetro Tiros [pulg]</t>
  </si>
  <si>
    <t>Diámetro de Carguío [pulg]</t>
  </si>
  <si>
    <t>CAMA EXPLOSIVO [M]</t>
  </si>
  <si>
    <t>METROS CARGADOS [M]</t>
  </si>
  <si>
    <t>TACO REAL [M]</t>
  </si>
  <si>
    <t>LARGO MOMENTO CARGAR [M]</t>
  </si>
  <si>
    <t>TACO DISEÑO [M]</t>
  </si>
  <si>
    <t>LONG. DISEÑO [M]</t>
  </si>
  <si>
    <t>CEBO SUPERIOR</t>
  </si>
  <si>
    <t>ARAÑA EN CEBO SUPERIOR</t>
  </si>
  <si>
    <t>CEBO INFERIOR</t>
  </si>
  <si>
    <t>ARAÑA EN CEBO INFERIOR</t>
  </si>
  <si>
    <t>CANT. CARTUCHOS</t>
  </si>
  <si>
    <t>TIRO NEGATIVO / POSITIVO</t>
  </si>
  <si>
    <t>TIEMPO CARGUÍO DEL TIRO</t>
  </si>
  <si>
    <t>Molido</t>
  </si>
  <si>
    <t>s/i</t>
  </si>
  <si>
    <t>Cantidad de Cartuchos</t>
  </si>
  <si>
    <t>Cartón</t>
  </si>
  <si>
    <t>Tipo Retendor</t>
  </si>
  <si>
    <t>Greda</t>
  </si>
  <si>
    <t>Bolsa</t>
  </si>
  <si>
    <t>Longitud Taco</t>
  </si>
  <si>
    <t>Nivel</t>
  </si>
  <si>
    <t>Bloque</t>
  </si>
  <si>
    <t>Tuno</t>
  </si>
  <si>
    <t>UCL</t>
  </si>
  <si>
    <t>NP</t>
  </si>
  <si>
    <t>B-2</t>
  </si>
  <si>
    <t>B-6</t>
  </si>
  <si>
    <t>Ext Fw</t>
  </si>
  <si>
    <t>Panel 2</t>
  </si>
  <si>
    <t>Tiro con VoD</t>
  </si>
  <si>
    <t>Hora Fin Amarre</t>
  </si>
  <si>
    <t>Total Tiempo Amarre</t>
  </si>
  <si>
    <t>Hora Inicio Amarre</t>
  </si>
  <si>
    <t>Diablo Regimiento</t>
  </si>
  <si>
    <t>Pacífico Superior</t>
  </si>
  <si>
    <t>Reservas Norte</t>
  </si>
  <si>
    <t>DHz</t>
  </si>
  <si>
    <t>Pérdida Operacional Durante el Carguío</t>
  </si>
  <si>
    <t>Pérdida Operacional Durante el Amarre</t>
  </si>
  <si>
    <t>TIEMPO</t>
  </si>
  <si>
    <t>OTRAS OBSERVACIONES EN TERRENO</t>
  </si>
  <si>
    <t>Explosivo</t>
  </si>
  <si>
    <t>AnFo</t>
  </si>
  <si>
    <t>Emulsión</t>
  </si>
  <si>
    <t>Temperatura de Matríz</t>
  </si>
  <si>
    <t>PH de la Matríz</t>
  </si>
  <si>
    <t>Viscocidad Emulsión</t>
  </si>
  <si>
    <t>Calibración Bomba</t>
  </si>
  <si>
    <t>EMUSLION CARGADA [kg]</t>
  </si>
  <si>
    <t>Temperatura °C</t>
  </si>
  <si>
    <t>PH</t>
  </si>
  <si>
    <t>Viscosidad</t>
  </si>
  <si>
    <t>&gt;</t>
  </si>
  <si>
    <t>cp</t>
  </si>
  <si>
    <t xml:space="preserve">Concentración L30 </t>
  </si>
  <si>
    <t>%</t>
  </si>
  <si>
    <t>Inyección L30</t>
  </si>
  <si>
    <t>&lt;=</t>
  </si>
  <si>
    <t>Densidad final</t>
  </si>
  <si>
    <t>ton/m3</t>
  </si>
  <si>
    <t>Densidad lineal en 3"</t>
  </si>
  <si>
    <t>kg/m</t>
  </si>
  <si>
    <t>Tempo de Gasificación</t>
  </si>
  <si>
    <t>min</t>
  </si>
  <si>
    <t>°C</t>
  </si>
  <si>
    <t>3"</t>
  </si>
  <si>
    <t>3.5"</t>
  </si>
  <si>
    <t>kg</t>
  </si>
  <si>
    <t>Factor respecto a calibración de bomba</t>
  </si>
  <si>
    <t>Densidad lineal en 3.3"</t>
  </si>
  <si>
    <t>Calibración Bomba (+/- 1%)</t>
  </si>
  <si>
    <t>Concentración L30</t>
  </si>
  <si>
    <t>Tiempo de Gasificación [min]</t>
  </si>
  <si>
    <t>v</t>
  </si>
  <si>
    <t>Densidad Lineal Lograda  [kg/m]</t>
  </si>
  <si>
    <t>Araña</t>
  </si>
  <si>
    <t>ARAÑA EMULSIÓN</t>
  </si>
  <si>
    <t>USO RETENEDOR</t>
  </si>
  <si>
    <t>Sí</t>
  </si>
  <si>
    <t>Núm. Zanja</t>
  </si>
  <si>
    <t xml:space="preserve">Calles Zanja </t>
  </si>
  <si>
    <t>Fase</t>
  </si>
  <si>
    <t>Calle UCL</t>
  </si>
  <si>
    <t>Parada Inicial</t>
  </si>
  <si>
    <t>Parada Final (neg)</t>
  </si>
  <si>
    <t>RETARDO por DISEÑO [ms]</t>
  </si>
  <si>
    <t>RETARDO REAL [ms]</t>
  </si>
  <si>
    <t>ID Tronadura</t>
  </si>
  <si>
    <t>INSTALA LIANZA</t>
  </si>
  <si>
    <t>INSTALA ARAÑAS INFERIORES</t>
  </si>
  <si>
    <t>INSTALA SACOS</t>
  </si>
  <si>
    <t>INSTALA GREDAS</t>
  </si>
  <si>
    <t>INSTALA ARAÑAS SUPERIOR</t>
  </si>
  <si>
    <t>CAMA DE EXPLOSIVO</t>
  </si>
  <si>
    <t>CUMPLE</t>
  </si>
  <si>
    <t>NÚMERO</t>
  </si>
  <si>
    <t>METROS</t>
  </si>
  <si>
    <t>Adherencia</t>
  </si>
  <si>
    <t>Cumplimiento</t>
  </si>
  <si>
    <t>Porcentaje</t>
  </si>
  <si>
    <t>Lianza</t>
  </si>
  <si>
    <t>Arañas Inferiores</t>
  </si>
  <si>
    <t>Sacos</t>
  </si>
  <si>
    <t>Gredas</t>
  </si>
  <si>
    <t>Arañas Superiores</t>
  </si>
  <si>
    <t>Cama</t>
  </si>
  <si>
    <t>Arañas Inferior</t>
  </si>
  <si>
    <t>Arañas Superir</t>
  </si>
  <si>
    <t>Cama de Explosivo</t>
  </si>
  <si>
    <t>Rango de Densidad Final en Vaso [kg/m3]</t>
  </si>
  <si>
    <t>Rango Densidad Lineal Programada [kg/m]</t>
  </si>
  <si>
    <t>ORDEN SECUENCIA</t>
  </si>
  <si>
    <t>PROTOCOLO PARA TIROS ROTOS</t>
  </si>
  <si>
    <t>TACO EN FONDO EN TIROS LARGOS</t>
  </si>
  <si>
    <t>NÚM DE GREDAS</t>
  </si>
  <si>
    <t>TACO EN FONDO REAL</t>
  </si>
  <si>
    <t>NÚM GREDAS REAL</t>
  </si>
  <si>
    <t>LONG. AL TERMINAR CAMA</t>
  </si>
  <si>
    <t>LONG. 1ER CEBO</t>
  </si>
  <si>
    <t>LONG. AL TERMINAR CARGA INTERMEDIA</t>
  </si>
  <si>
    <t>LONG. 2DO CEBO</t>
  </si>
  <si>
    <t>LONG. CARGA INFERIOR</t>
  </si>
  <si>
    <t>LONG. RETENEDOR</t>
  </si>
  <si>
    <t>LONG TACO DE GREDA</t>
  </si>
  <si>
    <t xml:space="preserve">DETALLE DE LA CARGA DE COLUMNA </t>
  </si>
  <si>
    <t>21/09/26</t>
  </si>
  <si>
    <t xml:space="preserve">Andrés Bugeño </t>
  </si>
  <si>
    <t xml:space="preserve">Nicolás Valdovinos </t>
  </si>
  <si>
    <t xml:space="preserve">Luis Salinas </t>
  </si>
  <si>
    <t xml:space="preserve">Nicolas Flores </t>
  </si>
  <si>
    <t>14,3</t>
  </si>
  <si>
    <t>Z49 HW C43</t>
  </si>
  <si>
    <t>114,2</t>
  </si>
  <si>
    <t>91,6</t>
  </si>
  <si>
    <t>15,2</t>
  </si>
  <si>
    <t>6,2</t>
  </si>
  <si>
    <t>19,3</t>
  </si>
  <si>
    <t>12,3</t>
  </si>
  <si>
    <t>13,4</t>
  </si>
  <si>
    <t>13,7</t>
  </si>
  <si>
    <t>7,5</t>
  </si>
  <si>
    <t>Sin VoD por motivo a que tiro con tiempo 0 se encontraba corto con 3,5 mts de su totalidad.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</si>
</sst>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64" formatCode="0.0"/>
    <numFmt numFmtId="165" formatCode="[$-F400]h:mm:ss\ AM/PM"/>
    <numFmt numFmtId="166" formatCode="0.00000"/>
    <numFmt numFmtId="167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6"/>
      <name val="Yu Gothic"/>
      <family val="2"/>
      <charset val="128"/>
    </font>
    <font>
      <sz val="14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18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0"/>
      <name val="Arial"/>
      <family val="2"/>
    </font>
    <font>
      <b/>
      <sz val="12"/>
      <name val="Arial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2" borderId="0" applyNumberFormat="0" applyBorder="0" applyAlignment="0" applyProtection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7">
    <xf numFmtId="0" fontId="0" fillId="0" borderId="0" xfId="0"/>
    <xf numFmtId="0" fontId="4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6" fillId="0" borderId="0" xfId="2" applyFont="1" applyFill="1" applyBorder="1" applyAlignment="1">
      <alignment horizontal="center" vertical="center"/>
    </xf>
    <xf numFmtId="164" fontId="6" fillId="0" borderId="0" xfId="2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6" fillId="0" borderId="0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164" fontId="9" fillId="4" borderId="0" xfId="1" applyNumberFormat="1" applyFont="1" applyFill="1" applyAlignment="1">
      <alignment horizontal="center" vertical="center"/>
    </xf>
    <xf numFmtId="0" fontId="12" fillId="4" borderId="0" xfId="2" applyFont="1" applyFill="1" applyBorder="1" applyAlignment="1">
      <alignment horizontal="center" vertical="center"/>
    </xf>
    <xf numFmtId="164" fontId="12" fillId="4" borderId="0" xfId="2" applyNumberFormat="1" applyFont="1" applyFill="1" applyBorder="1" applyAlignment="1">
      <alignment horizontal="center" vertical="center"/>
    </xf>
    <xf numFmtId="0" fontId="12" fillId="4" borderId="0" xfId="2" applyFont="1" applyFill="1" applyBorder="1" applyAlignment="1" applyProtection="1">
      <alignment horizontal="center" vertical="center"/>
      <protection locked="0"/>
    </xf>
    <xf numFmtId="0" fontId="4" fillId="0" borderId="0" xfId="1" applyFont="1" applyAlignment="1">
      <alignment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0" fontId="5" fillId="5" borderId="21" xfId="1" applyFont="1" applyFill="1" applyBorder="1" applyAlignment="1" applyProtection="1">
      <alignment horizontal="center" vertical="center"/>
      <protection locked="0"/>
    </xf>
    <xf numFmtId="0" fontId="5" fillId="5" borderId="9" xfId="1" applyFont="1" applyFill="1" applyBorder="1" applyAlignment="1" applyProtection="1">
      <alignment horizontal="center" vertical="center"/>
      <protection locked="0"/>
    </xf>
    <xf numFmtId="0" fontId="5" fillId="5" borderId="17" xfId="1" applyFont="1" applyFill="1" applyBorder="1" applyAlignment="1" applyProtection="1">
      <alignment horizontal="center" vertical="center"/>
      <protection locked="0"/>
    </xf>
    <xf numFmtId="0" fontId="10" fillId="5" borderId="41" xfId="0" applyFont="1" applyFill="1" applyBorder="1" applyAlignment="1">
      <alignment vertical="center" wrapText="1"/>
    </xf>
    <xf numFmtId="0" fontId="5" fillId="5" borderId="0" xfId="1" applyFont="1" applyFill="1" applyAlignment="1" applyProtection="1">
      <alignment horizontal="center" vertical="center"/>
      <protection locked="0"/>
    </xf>
    <xf numFmtId="0" fontId="10" fillId="5" borderId="22" xfId="0" applyFont="1" applyFill="1" applyBorder="1" applyAlignment="1">
      <alignment vertical="center" wrapText="1"/>
    </xf>
    <xf numFmtId="165" fontId="11" fillId="5" borderId="25" xfId="1" applyNumberFormat="1" applyFont="1" applyFill="1" applyBorder="1" applyAlignment="1" applyProtection="1">
      <alignment horizontal="center" vertical="center"/>
      <protection locked="0"/>
    </xf>
    <xf numFmtId="0" fontId="5" fillId="6" borderId="1" xfId="1" applyFont="1" applyFill="1" applyBorder="1" applyAlignment="1" applyProtection="1">
      <alignment horizontal="center" vertical="center"/>
      <protection locked="0"/>
    </xf>
    <xf numFmtId="0" fontId="11" fillId="6" borderId="1" xfId="1" applyFont="1" applyFill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9" fontId="5" fillId="0" borderId="1" xfId="4" applyFont="1" applyBorder="1" applyAlignment="1" applyProtection="1">
      <alignment horizontal="center" vertical="center"/>
      <protection locked="0"/>
    </xf>
    <xf numFmtId="0" fontId="10" fillId="5" borderId="20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10" fillId="8" borderId="23" xfId="0" applyFont="1" applyFill="1" applyBorder="1" applyAlignment="1">
      <alignment vertical="center" wrapText="1"/>
    </xf>
    <xf numFmtId="0" fontId="4" fillId="8" borderId="37" xfId="1" applyFont="1" applyFill="1" applyBorder="1" applyAlignment="1" applyProtection="1">
      <alignment horizontal="center" vertical="center"/>
      <protection locked="0"/>
    </xf>
    <xf numFmtId="165" fontId="9" fillId="0" borderId="51" xfId="1" applyNumberFormat="1" applyFont="1" applyBorder="1" applyAlignment="1" applyProtection="1">
      <alignment horizontal="center" vertical="center"/>
      <protection locked="0"/>
    </xf>
    <xf numFmtId="165" fontId="9" fillId="0" borderId="52" xfId="1" applyNumberFormat="1" applyFont="1" applyBorder="1" applyAlignment="1" applyProtection="1">
      <alignment horizontal="center" vertical="center"/>
      <protection locked="0"/>
    </xf>
    <xf numFmtId="165" fontId="9" fillId="0" borderId="53" xfId="1" applyNumberFormat="1" applyFont="1" applyBorder="1" applyAlignment="1" applyProtection="1">
      <alignment horizontal="center" vertical="center"/>
      <protection locked="0"/>
    </xf>
    <xf numFmtId="0" fontId="5" fillId="5" borderId="9" xfId="3" applyNumberFormat="1" applyFont="1" applyFill="1" applyBorder="1" applyAlignment="1" applyProtection="1">
      <alignment horizontal="center" vertical="center"/>
      <protection locked="0"/>
    </xf>
    <xf numFmtId="2" fontId="15" fillId="5" borderId="42" xfId="0" applyNumberFormat="1" applyFont="1" applyFill="1" applyBorder="1" applyAlignment="1">
      <alignment horizontal="center" vertical="center" wrapText="1"/>
    </xf>
    <xf numFmtId="2" fontId="15" fillId="5" borderId="14" xfId="0" applyNumberFormat="1" applyFont="1" applyFill="1" applyBorder="1" applyAlignment="1">
      <alignment horizontal="center" vertical="center" wrapText="1"/>
    </xf>
    <xf numFmtId="0" fontId="5" fillId="5" borderId="15" xfId="3" applyNumberFormat="1" applyFont="1" applyFill="1" applyBorder="1" applyAlignment="1" applyProtection="1">
      <alignment horizontal="center" vertical="center"/>
      <protection locked="0"/>
    </xf>
    <xf numFmtId="0" fontId="15" fillId="7" borderId="1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164" fontId="15" fillId="7" borderId="1" xfId="0" applyNumberFormat="1" applyFont="1" applyFill="1" applyBorder="1" applyAlignment="1">
      <alignment horizontal="center" vertical="center" wrapText="1"/>
    </xf>
    <xf numFmtId="2" fontId="15" fillId="7" borderId="1" xfId="0" applyNumberFormat="1" applyFont="1" applyFill="1" applyBorder="1" applyAlignment="1">
      <alignment horizontal="center" vertical="center" wrapText="1"/>
    </xf>
    <xf numFmtId="2" fontId="15" fillId="7" borderId="14" xfId="0" applyNumberFormat="1" applyFont="1" applyFill="1" applyBorder="1" applyAlignment="1">
      <alignment horizontal="center" vertical="center" wrapText="1"/>
    </xf>
    <xf numFmtId="0" fontId="11" fillId="7" borderId="19" xfId="1" applyFont="1" applyFill="1" applyBorder="1" applyAlignment="1" applyProtection="1">
      <alignment vertical="center"/>
      <protection locked="0"/>
    </xf>
    <xf numFmtId="165" fontId="11" fillId="7" borderId="25" xfId="1" applyNumberFormat="1" applyFont="1" applyFill="1" applyBorder="1" applyAlignment="1" applyProtection="1">
      <alignment horizontal="center" vertical="center"/>
      <protection locked="0"/>
    </xf>
    <xf numFmtId="0" fontId="10" fillId="7" borderId="18" xfId="0" applyFont="1" applyFill="1" applyBorder="1" applyAlignment="1">
      <alignment vertical="center" wrapText="1"/>
    </xf>
    <xf numFmtId="0" fontId="10" fillId="7" borderId="29" xfId="0" applyFont="1" applyFill="1" applyBorder="1" applyAlignment="1">
      <alignment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7" fillId="10" borderId="27" xfId="0" applyFont="1" applyFill="1" applyBorder="1" applyAlignment="1">
      <alignment horizontal="center" vertical="center" wrapText="1"/>
    </xf>
    <xf numFmtId="0" fontId="7" fillId="7" borderId="32" xfId="0" applyFont="1" applyFill="1" applyBorder="1" applyAlignment="1">
      <alignment horizontal="center" vertical="center" wrapText="1"/>
    </xf>
    <xf numFmtId="0" fontId="14" fillId="7" borderId="32" xfId="0" applyFont="1" applyFill="1" applyBorder="1" applyAlignment="1">
      <alignment vertical="center" wrapText="1"/>
    </xf>
    <xf numFmtId="0" fontId="7" fillId="9" borderId="32" xfId="0" applyFont="1" applyFill="1" applyBorder="1" applyAlignment="1">
      <alignment horizontal="center" vertical="center" wrapText="1"/>
    </xf>
    <xf numFmtId="0" fontId="5" fillId="12" borderId="11" xfId="1" applyFont="1" applyFill="1" applyBorder="1" applyAlignment="1" applyProtection="1">
      <alignment horizontal="center" vertical="center" wrapText="1"/>
      <protection locked="0"/>
    </xf>
    <xf numFmtId="0" fontId="17" fillId="12" borderId="1" xfId="1" applyFont="1" applyFill="1" applyBorder="1" applyAlignment="1" applyProtection="1">
      <alignment horizontal="center" vertical="center"/>
      <protection locked="0"/>
    </xf>
    <xf numFmtId="0" fontId="17" fillId="13" borderId="1" xfId="1" applyFont="1" applyFill="1" applyBorder="1" applyAlignment="1" applyProtection="1">
      <alignment horizontal="center" vertical="center"/>
      <protection locked="0"/>
    </xf>
    <xf numFmtId="0" fontId="17" fillId="10" borderId="1" xfId="1" applyFont="1" applyFill="1" applyBorder="1" applyAlignment="1" applyProtection="1">
      <alignment horizontal="center" vertical="center"/>
      <protection locked="0"/>
    </xf>
    <xf numFmtId="0" fontId="7" fillId="13" borderId="54" xfId="0" applyFont="1" applyFill="1" applyBorder="1" applyAlignment="1">
      <alignment horizontal="left" vertical="center" wrapText="1"/>
    </xf>
    <xf numFmtId="0" fontId="7" fillId="13" borderId="50" xfId="0" applyFont="1" applyFill="1" applyBorder="1" applyAlignment="1">
      <alignment horizontal="left" vertical="center" wrapText="1"/>
    </xf>
    <xf numFmtId="1" fontId="15" fillId="4" borderId="10" xfId="2" applyNumberFormat="1" applyFont="1" applyFill="1" applyBorder="1" applyAlignment="1">
      <alignment horizontal="center" vertical="center"/>
    </xf>
    <xf numFmtId="1" fontId="15" fillId="4" borderId="1" xfId="2" applyNumberFormat="1" applyFont="1" applyFill="1" applyBorder="1" applyAlignment="1">
      <alignment horizontal="center" vertical="center"/>
    </xf>
    <xf numFmtId="164" fontId="15" fillId="4" borderId="1" xfId="2" applyNumberFormat="1" applyFont="1" applyFill="1" applyBorder="1" applyAlignment="1">
      <alignment horizontal="center" vertical="center"/>
    </xf>
    <xf numFmtId="0" fontId="15" fillId="4" borderId="1" xfId="2" applyFont="1" applyFill="1" applyBorder="1" applyAlignment="1">
      <alignment horizontal="center" vertical="center"/>
    </xf>
    <xf numFmtId="0" fontId="15" fillId="4" borderId="1" xfId="2" applyFont="1" applyFill="1" applyBorder="1" applyAlignment="1" applyProtection="1">
      <alignment horizontal="center" vertical="center"/>
      <protection locked="0"/>
    </xf>
    <xf numFmtId="164" fontId="15" fillId="7" borderId="1" xfId="2" applyNumberFormat="1" applyFont="1" applyFill="1" applyBorder="1" applyAlignment="1" applyProtection="1">
      <alignment horizontal="center" vertical="center"/>
      <protection locked="0"/>
    </xf>
    <xf numFmtId="164" fontId="15" fillId="4" borderId="1" xfId="1" applyNumberFormat="1" applyFont="1" applyFill="1" applyBorder="1" applyAlignment="1">
      <alignment horizontal="center" vertical="center"/>
    </xf>
    <xf numFmtId="0" fontId="15" fillId="0" borderId="1" xfId="1" applyFont="1" applyBorder="1" applyAlignment="1" applyProtection="1">
      <alignment horizontal="center" vertical="center"/>
      <protection locked="0"/>
    </xf>
    <xf numFmtId="165" fontId="15" fillId="0" borderId="9" xfId="1" applyNumberFormat="1" applyFont="1" applyBorder="1" applyAlignment="1" applyProtection="1">
      <alignment horizontal="center" vertical="center"/>
      <protection locked="0"/>
    </xf>
    <xf numFmtId="0" fontId="15" fillId="6" borderId="1" xfId="1" applyFont="1" applyFill="1" applyBorder="1" applyAlignment="1" applyProtection="1">
      <alignment horizontal="center" vertical="center"/>
      <protection locked="0"/>
    </xf>
    <xf numFmtId="0" fontId="14" fillId="14" borderId="20" xfId="0" applyFont="1" applyFill="1" applyBorder="1" applyAlignment="1">
      <alignment horizontal="center" vertical="center" wrapText="1"/>
    </xf>
    <xf numFmtId="0" fontId="14" fillId="14" borderId="11" xfId="0" applyFont="1" applyFill="1" applyBorder="1" applyAlignment="1">
      <alignment horizontal="center" vertical="center" wrapText="1"/>
    </xf>
    <xf numFmtId="0" fontId="14" fillId="12" borderId="11" xfId="0" applyFont="1" applyFill="1" applyBorder="1" applyAlignment="1">
      <alignment horizontal="center" vertical="center" wrapText="1"/>
    </xf>
    <xf numFmtId="0" fontId="14" fillId="12" borderId="21" xfId="0" applyFont="1" applyFill="1" applyBorder="1" applyAlignment="1">
      <alignment horizontal="center" vertical="center" wrapText="1"/>
    </xf>
    <xf numFmtId="0" fontId="7" fillId="6" borderId="32" xfId="0" applyFont="1" applyFill="1" applyBorder="1" applyAlignment="1">
      <alignment horizontal="center" vertical="center" wrapText="1"/>
    </xf>
    <xf numFmtId="164" fontId="15" fillId="4" borderId="7" xfId="2" applyNumberFormat="1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 wrapText="1"/>
    </xf>
    <xf numFmtId="164" fontId="15" fillId="5" borderId="8" xfId="2" applyNumberFormat="1" applyFont="1" applyFill="1" applyBorder="1" applyAlignment="1">
      <alignment horizontal="center" vertical="center"/>
    </xf>
    <xf numFmtId="164" fontId="15" fillId="4" borderId="10" xfId="2" applyNumberFormat="1" applyFont="1" applyFill="1" applyBorder="1" applyAlignment="1">
      <alignment horizontal="center" vertical="center"/>
    </xf>
    <xf numFmtId="164" fontId="15" fillId="4" borderId="9" xfId="2" applyNumberFormat="1" applyFont="1" applyFill="1" applyBorder="1" applyAlignment="1">
      <alignment horizontal="center" vertical="center"/>
    </xf>
    <xf numFmtId="164" fontId="15" fillId="4" borderId="22" xfId="2" applyNumberFormat="1" applyFont="1" applyFill="1" applyBorder="1" applyAlignment="1">
      <alignment horizontal="center" vertical="center"/>
    </xf>
    <xf numFmtId="164" fontId="15" fillId="4" borderId="14" xfId="2" applyNumberFormat="1" applyFont="1" applyFill="1" applyBorder="1" applyAlignment="1">
      <alignment horizontal="center" vertical="center"/>
    </xf>
    <xf numFmtId="164" fontId="15" fillId="4" borderId="17" xfId="2" applyNumberFormat="1" applyFont="1" applyFill="1" applyBorder="1" applyAlignment="1">
      <alignment horizontal="center" vertical="center"/>
    </xf>
    <xf numFmtId="0" fontId="5" fillId="0" borderId="0" xfId="1" applyFont="1" applyAlignment="1" applyProtection="1">
      <alignment horizontal="center" vertical="center" wrapText="1"/>
      <protection locked="0"/>
    </xf>
    <xf numFmtId="0" fontId="17" fillId="13" borderId="7" xfId="1" applyFont="1" applyFill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center" vertical="center" wrapText="1"/>
      <protection locked="0"/>
    </xf>
    <xf numFmtId="0" fontId="5" fillId="15" borderId="1" xfId="1" applyFont="1" applyFill="1" applyBorder="1" applyAlignment="1" applyProtection="1">
      <alignment horizontal="center" vertical="center" wrapText="1"/>
      <protection locked="0"/>
    </xf>
    <xf numFmtId="0" fontId="15" fillId="0" borderId="7" xfId="1" applyFont="1" applyBorder="1" applyAlignment="1" applyProtection="1">
      <alignment horizontal="center" vertical="center"/>
      <protection locked="0"/>
    </xf>
    <xf numFmtId="0" fontId="5" fillId="15" borderId="10" xfId="1" applyFont="1" applyFill="1" applyBorder="1" applyAlignment="1" applyProtection="1">
      <alignment horizontal="center" vertical="center" wrapText="1"/>
      <protection locked="0"/>
    </xf>
    <xf numFmtId="0" fontId="5" fillId="15" borderId="9" xfId="1" applyFont="1" applyFill="1" applyBorder="1" applyAlignment="1" applyProtection="1">
      <alignment horizontal="center" vertical="center" wrapText="1"/>
      <protection locked="0"/>
    </xf>
    <xf numFmtId="0" fontId="4" fillId="0" borderId="10" xfId="1" applyFont="1" applyBorder="1" applyAlignment="1" applyProtection="1">
      <alignment horizontal="center" vertical="center"/>
      <protection locked="0"/>
    </xf>
    <xf numFmtId="0" fontId="4" fillId="0" borderId="9" xfId="1" applyFont="1" applyBorder="1" applyAlignment="1" applyProtection="1">
      <alignment horizontal="center" vertical="center"/>
      <protection locked="0"/>
    </xf>
    <xf numFmtId="0" fontId="4" fillId="0" borderId="22" xfId="1" applyFont="1" applyBorder="1" applyAlignment="1" applyProtection="1">
      <alignment horizontal="center" vertical="center"/>
      <protection locked="0"/>
    </xf>
    <xf numFmtId="0" fontId="4" fillId="0" borderId="14" xfId="1" applyFont="1" applyBorder="1" applyAlignment="1" applyProtection="1">
      <alignment horizontal="center" vertical="center"/>
      <protection locked="0"/>
    </xf>
    <xf numFmtId="0" fontId="4" fillId="0" borderId="17" xfId="1" applyFont="1" applyBorder="1" applyAlignment="1" applyProtection="1">
      <alignment horizontal="center" vertical="center"/>
      <protection locked="0"/>
    </xf>
    <xf numFmtId="0" fontId="5" fillId="10" borderId="20" xfId="1" applyFont="1" applyFill="1" applyBorder="1" applyAlignment="1" applyProtection="1">
      <alignment horizontal="center" vertical="center"/>
      <protection locked="0"/>
    </xf>
    <xf numFmtId="0" fontId="5" fillId="10" borderId="11" xfId="1" applyFont="1" applyFill="1" applyBorder="1" applyAlignment="1" applyProtection="1">
      <alignment horizontal="center" vertical="center"/>
      <protection locked="0"/>
    </xf>
    <xf numFmtId="0" fontId="5" fillId="10" borderId="21" xfId="1" applyFont="1" applyFill="1" applyBorder="1" applyAlignment="1" applyProtection="1">
      <alignment horizontal="center" vertical="center"/>
      <protection locked="0"/>
    </xf>
    <xf numFmtId="0" fontId="10" fillId="7" borderId="12" xfId="0" applyFont="1" applyFill="1" applyBorder="1" applyAlignment="1">
      <alignment horizontal="center" vertical="center" wrapText="1"/>
    </xf>
    <xf numFmtId="0" fontId="10" fillId="7" borderId="49" xfId="0" applyFont="1" applyFill="1" applyBorder="1" applyAlignment="1">
      <alignment horizontal="center" vertical="center" wrapText="1"/>
    </xf>
    <xf numFmtId="0" fontId="10" fillId="7" borderId="55" xfId="0" applyFont="1" applyFill="1" applyBorder="1" applyAlignment="1">
      <alignment horizontal="center" vertical="center" wrapText="1"/>
    </xf>
    <xf numFmtId="20" fontId="10" fillId="7" borderId="15" xfId="0" applyNumberFormat="1" applyFont="1" applyFill="1" applyBorder="1" applyAlignment="1">
      <alignment horizontal="center" vertical="center" wrapText="1"/>
    </xf>
    <xf numFmtId="0" fontId="10" fillId="7" borderId="47" xfId="0" applyFont="1" applyFill="1" applyBorder="1" applyAlignment="1">
      <alignment horizontal="center" vertical="center" wrapText="1"/>
    </xf>
    <xf numFmtId="0" fontId="10" fillId="7" borderId="39" xfId="0" applyFont="1" applyFill="1" applyBorder="1" applyAlignment="1">
      <alignment horizontal="center" vertical="center" wrapText="1"/>
    </xf>
    <xf numFmtId="20" fontId="10" fillId="7" borderId="12" xfId="0" applyNumberFormat="1" applyFont="1" applyFill="1" applyBorder="1" applyAlignment="1">
      <alignment horizontal="center" vertical="center" wrapText="1"/>
    </xf>
    <xf numFmtId="0" fontId="10" fillId="7" borderId="31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37" xfId="0" applyFont="1" applyFill="1" applyBorder="1" applyAlignment="1">
      <alignment horizontal="center" vertical="center" wrapText="1"/>
    </xf>
    <xf numFmtId="0" fontId="10" fillId="6" borderId="31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165" fontId="15" fillId="5" borderId="15" xfId="0" applyNumberFormat="1" applyFont="1" applyFill="1" applyBorder="1" applyAlignment="1">
      <alignment horizontal="center" vertical="center" wrapText="1"/>
    </xf>
    <xf numFmtId="165" fontId="15" fillId="5" borderId="47" xfId="0" applyNumberFormat="1" applyFont="1" applyFill="1" applyBorder="1" applyAlignment="1">
      <alignment horizontal="center" vertical="center" wrapText="1"/>
    </xf>
    <xf numFmtId="165" fontId="15" fillId="5" borderId="39" xfId="0" applyNumberFormat="1" applyFont="1" applyFill="1" applyBorder="1" applyAlignment="1">
      <alignment horizontal="center" vertical="center" wrapText="1"/>
    </xf>
    <xf numFmtId="165" fontId="15" fillId="5" borderId="12" xfId="0" applyNumberFormat="1" applyFont="1" applyFill="1" applyBorder="1" applyAlignment="1">
      <alignment horizontal="center" vertical="center" wrapText="1"/>
    </xf>
    <xf numFmtId="165" fontId="15" fillId="5" borderId="49" xfId="0" applyNumberFormat="1" applyFont="1" applyFill="1" applyBorder="1" applyAlignment="1">
      <alignment horizontal="center" vertical="center" wrapText="1"/>
    </xf>
    <xf numFmtId="165" fontId="15" fillId="5" borderId="55" xfId="0" applyNumberFormat="1" applyFont="1" applyFill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48" xfId="0" applyFont="1" applyFill="1" applyBorder="1" applyAlignment="1">
      <alignment horizontal="center" vertical="center" wrapText="1"/>
    </xf>
    <xf numFmtId="0" fontId="10" fillId="7" borderId="38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vertical="center" wrapText="1"/>
    </xf>
    <xf numFmtId="0" fontId="10" fillId="7" borderId="8" xfId="0" applyFont="1" applyFill="1" applyBorder="1" applyAlignment="1">
      <alignment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5" fillId="7" borderId="38" xfId="0" applyFont="1" applyFill="1" applyBorder="1" applyAlignment="1">
      <alignment horizontal="center" vertical="center" wrapText="1"/>
    </xf>
    <xf numFmtId="0" fontId="11" fillId="7" borderId="10" xfId="1" applyFont="1" applyFill="1" applyBorder="1" applyAlignment="1" applyProtection="1">
      <alignment horizontal="left" vertical="center"/>
      <protection locked="0"/>
    </xf>
    <xf numFmtId="0" fontId="11" fillId="7" borderId="1" xfId="1" applyFont="1" applyFill="1" applyBorder="1" applyAlignment="1" applyProtection="1">
      <alignment horizontal="left" vertical="center"/>
      <protection locked="0"/>
    </xf>
    <xf numFmtId="0" fontId="11" fillId="7" borderId="22" xfId="1" applyFont="1" applyFill="1" applyBorder="1" applyAlignment="1" applyProtection="1">
      <alignment horizontal="left" vertical="center"/>
      <protection locked="0"/>
    </xf>
    <xf numFmtId="0" fontId="11" fillId="7" borderId="14" xfId="1" applyFont="1" applyFill="1" applyBorder="1" applyAlignment="1" applyProtection="1">
      <alignment horizontal="left" vertical="center"/>
      <protection locked="0"/>
    </xf>
    <xf numFmtId="0" fontId="5" fillId="5" borderId="11" xfId="1" applyFont="1" applyFill="1" applyBorder="1" applyAlignment="1" applyProtection="1">
      <alignment horizontal="center" vertical="center" wrapText="1"/>
      <protection locked="0"/>
    </xf>
    <xf numFmtId="0" fontId="10" fillId="7" borderId="26" xfId="0" applyFont="1" applyFill="1" applyBorder="1" applyAlignment="1">
      <alignment vertical="center" wrapText="1"/>
    </xf>
    <xf numFmtId="0" fontId="10" fillId="7" borderId="27" xfId="0" applyFont="1" applyFill="1" applyBorder="1" applyAlignment="1">
      <alignment vertical="center" wrapText="1"/>
    </xf>
    <xf numFmtId="0" fontId="15" fillId="7" borderId="32" xfId="0" applyFont="1" applyFill="1" applyBorder="1" applyAlignment="1">
      <alignment horizontal="center" vertical="center" wrapText="1"/>
    </xf>
    <xf numFmtId="0" fontId="15" fillId="7" borderId="40" xfId="0" applyFont="1" applyFill="1" applyBorder="1" applyAlignment="1">
      <alignment horizontal="center" vertical="center" wrapText="1"/>
    </xf>
    <xf numFmtId="0" fontId="5" fillId="7" borderId="14" xfId="1" applyFont="1" applyFill="1" applyBorder="1" applyAlignment="1" applyProtection="1">
      <alignment horizontal="center" vertical="center"/>
      <protection locked="0"/>
    </xf>
    <xf numFmtId="0" fontId="5" fillId="7" borderId="17" xfId="1" applyFont="1" applyFill="1" applyBorder="1" applyAlignment="1" applyProtection="1">
      <alignment horizontal="center" vertical="center"/>
      <protection locked="0"/>
    </xf>
    <xf numFmtId="0" fontId="5" fillId="7" borderId="1" xfId="1" applyFont="1" applyFill="1" applyBorder="1" applyAlignment="1" applyProtection="1">
      <alignment horizontal="center" vertical="center"/>
      <protection locked="0"/>
    </xf>
    <xf numFmtId="0" fontId="5" fillId="7" borderId="9" xfId="1" applyFont="1" applyFill="1" applyBorder="1" applyAlignment="1" applyProtection="1">
      <alignment horizontal="center" vertical="center"/>
      <protection locked="0"/>
    </xf>
    <xf numFmtId="0" fontId="4" fillId="0" borderId="34" xfId="1" applyFont="1" applyBorder="1" applyAlignment="1" applyProtection="1">
      <alignment horizontal="left" vertical="center"/>
      <protection locked="0"/>
    </xf>
    <xf numFmtId="0" fontId="4" fillId="0" borderId="47" xfId="1" applyFont="1" applyBorder="1" applyAlignment="1" applyProtection="1">
      <alignment horizontal="left" vertical="center"/>
      <protection locked="0"/>
    </xf>
    <xf numFmtId="0" fontId="5" fillId="12" borderId="11" xfId="1" applyFont="1" applyFill="1" applyBorder="1" applyAlignment="1" applyProtection="1">
      <alignment horizontal="center" vertical="center" wrapText="1"/>
      <protection locked="0"/>
    </xf>
    <xf numFmtId="0" fontId="12" fillId="4" borderId="1" xfId="2" applyFont="1" applyFill="1" applyBorder="1" applyAlignment="1">
      <alignment horizontal="center" vertical="center"/>
    </xf>
    <xf numFmtId="0" fontId="10" fillId="5" borderId="1" xfId="2" applyFont="1" applyFill="1" applyBorder="1" applyAlignment="1">
      <alignment horizontal="center" vertical="center"/>
    </xf>
    <xf numFmtId="0" fontId="10" fillId="7" borderId="34" xfId="0" applyFont="1" applyFill="1" applyBorder="1" applyAlignment="1">
      <alignment vertical="center" wrapText="1"/>
    </xf>
    <xf numFmtId="0" fontId="10" fillId="7" borderId="16" xfId="0" applyFont="1" applyFill="1" applyBorder="1" applyAlignment="1">
      <alignment vertical="center" wrapText="1"/>
    </xf>
    <xf numFmtId="0" fontId="15" fillId="7" borderId="15" xfId="0" applyFont="1" applyFill="1" applyBorder="1" applyAlignment="1">
      <alignment horizontal="center" vertical="center" wrapText="1"/>
    </xf>
    <xf numFmtId="0" fontId="15" fillId="7" borderId="39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left" vertical="center" wrapText="1"/>
    </xf>
    <xf numFmtId="0" fontId="10" fillId="7" borderId="14" xfId="0" applyFont="1" applyFill="1" applyBorder="1" applyAlignment="1">
      <alignment horizontal="left" vertical="center" wrapText="1"/>
    </xf>
    <xf numFmtId="0" fontId="10" fillId="7" borderId="23" xfId="0" applyFont="1" applyFill="1" applyBorder="1" applyAlignment="1">
      <alignment vertical="center" wrapText="1"/>
    </xf>
    <xf numFmtId="0" fontId="10" fillId="7" borderId="24" xfId="0" applyFont="1" applyFill="1" applyBorder="1" applyAlignment="1">
      <alignment vertical="center" wrapText="1"/>
    </xf>
    <xf numFmtId="0" fontId="15" fillId="7" borderId="14" xfId="0" applyFont="1" applyFill="1" applyBorder="1" applyAlignment="1">
      <alignment horizontal="center" vertical="center" wrapText="1"/>
    </xf>
    <xf numFmtId="0" fontId="15" fillId="7" borderId="17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7" xfId="0" applyFont="1" applyFill="1" applyBorder="1" applyAlignment="1">
      <alignment horizontal="center" vertical="center" wrapText="1"/>
    </xf>
    <xf numFmtId="0" fontId="15" fillId="6" borderId="27" xfId="0" applyFont="1" applyFill="1" applyBorder="1" applyAlignment="1">
      <alignment horizontal="center" vertical="center" wrapText="1"/>
    </xf>
    <xf numFmtId="0" fontId="15" fillId="6" borderId="28" xfId="0" applyFont="1" applyFill="1" applyBorder="1" applyAlignment="1">
      <alignment horizontal="center" vertical="center" wrapText="1"/>
    </xf>
    <xf numFmtId="0" fontId="15" fillId="6" borderId="14" xfId="0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left" vertical="center" wrapText="1"/>
    </xf>
    <xf numFmtId="0" fontId="10" fillId="7" borderId="11" xfId="0" applyFont="1" applyFill="1" applyBorder="1" applyAlignment="1">
      <alignment horizontal="left" vertical="center" wrapText="1"/>
    </xf>
    <xf numFmtId="0" fontId="10" fillId="5" borderId="34" xfId="0" applyFont="1" applyFill="1" applyBorder="1" applyAlignment="1">
      <alignment horizontal="left" vertical="center" wrapText="1"/>
    </xf>
    <xf numFmtId="0" fontId="10" fillId="5" borderId="16" xfId="0" applyFont="1" applyFill="1" applyBorder="1" applyAlignment="1">
      <alignment horizontal="left" vertical="center" wrapText="1"/>
    </xf>
    <xf numFmtId="0" fontId="10" fillId="5" borderId="30" xfId="0" applyFont="1" applyFill="1" applyBorder="1" applyAlignment="1">
      <alignment horizontal="left" vertical="center" wrapText="1"/>
    </xf>
    <xf numFmtId="0" fontId="10" fillId="5" borderId="13" xfId="0" applyFont="1" applyFill="1" applyBorder="1" applyAlignment="1">
      <alignment horizontal="left" vertical="center" wrapText="1"/>
    </xf>
    <xf numFmtId="0" fontId="10" fillId="7" borderId="34" xfId="0" applyFont="1" applyFill="1" applyBorder="1" applyAlignment="1">
      <alignment horizontal="left" vertical="center" wrapText="1"/>
    </xf>
    <xf numFmtId="0" fontId="10" fillId="7" borderId="16" xfId="0" applyFont="1" applyFill="1" applyBorder="1" applyAlignment="1">
      <alignment horizontal="left" vertical="center" wrapText="1"/>
    </xf>
    <xf numFmtId="0" fontId="15" fillId="7" borderId="11" xfId="0" applyFont="1" applyFill="1" applyBorder="1" applyAlignment="1">
      <alignment horizontal="center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0" fillId="6" borderId="29" xfId="0" applyFont="1" applyFill="1" applyBorder="1" applyAlignment="1">
      <alignment horizontal="left" vertical="center" wrapText="1"/>
    </xf>
    <xf numFmtId="0" fontId="10" fillId="6" borderId="24" xfId="0" applyFont="1" applyFill="1" applyBorder="1" applyAlignment="1">
      <alignment horizontal="left" vertical="center" wrapText="1"/>
    </xf>
    <xf numFmtId="0" fontId="10" fillId="6" borderId="22" xfId="0" applyFont="1" applyFill="1" applyBorder="1" applyAlignment="1">
      <alignment horizontal="left" vertical="center" wrapText="1"/>
    </xf>
    <xf numFmtId="0" fontId="10" fillId="6" borderId="14" xfId="0" applyFont="1" applyFill="1" applyBorder="1" applyAlignment="1">
      <alignment horizontal="left" vertical="center" wrapText="1"/>
    </xf>
    <xf numFmtId="0" fontId="10" fillId="6" borderId="26" xfId="0" applyFont="1" applyFill="1" applyBorder="1" applyAlignment="1">
      <alignment horizontal="left" vertical="center" wrapText="1"/>
    </xf>
    <xf numFmtId="0" fontId="10" fillId="6" borderId="27" xfId="0" applyFont="1" applyFill="1" applyBorder="1" applyAlignment="1">
      <alignment horizontal="left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10" fillId="5" borderId="14" xfId="0" applyFont="1" applyFill="1" applyBorder="1" applyAlignment="1">
      <alignment horizontal="left" vertical="center" wrapText="1"/>
    </xf>
    <xf numFmtId="0" fontId="5" fillId="5" borderId="12" xfId="1" applyFont="1" applyFill="1" applyBorder="1" applyAlignment="1" applyProtection="1">
      <alignment horizontal="center" vertical="center" wrapText="1"/>
      <protection locked="0"/>
    </xf>
    <xf numFmtId="0" fontId="13" fillId="6" borderId="7" xfId="1" applyFont="1" applyFill="1" applyBorder="1" applyAlignment="1" applyProtection="1">
      <alignment horizontal="center" vertical="center"/>
      <protection locked="0"/>
    </xf>
    <xf numFmtId="0" fontId="13" fillId="6" borderId="8" xfId="1" applyFont="1" applyFill="1" applyBorder="1" applyAlignment="1" applyProtection="1">
      <alignment horizontal="center" vertical="center"/>
      <protection locked="0"/>
    </xf>
    <xf numFmtId="0" fontId="16" fillId="11" borderId="18" xfId="1" applyFont="1" applyFill="1" applyBorder="1" applyAlignment="1" applyProtection="1">
      <alignment horizontal="center" vertical="center"/>
      <protection locked="0"/>
    </xf>
    <xf numFmtId="0" fontId="16" fillId="11" borderId="19" xfId="1" applyFont="1" applyFill="1" applyBorder="1" applyAlignment="1" applyProtection="1">
      <alignment horizontal="center" vertical="center"/>
      <protection locked="0"/>
    </xf>
    <xf numFmtId="0" fontId="16" fillId="11" borderId="37" xfId="1" applyFont="1" applyFill="1" applyBorder="1" applyAlignment="1" applyProtection="1">
      <alignment horizontal="center" vertical="center"/>
      <protection locked="0"/>
    </xf>
    <xf numFmtId="0" fontId="11" fillId="13" borderId="18" xfId="1" applyFont="1" applyFill="1" applyBorder="1" applyAlignment="1" applyProtection="1">
      <alignment horizontal="left" vertical="center"/>
      <protection locked="0"/>
    </xf>
    <xf numFmtId="0" fontId="11" fillId="13" borderId="19" xfId="1" applyFont="1" applyFill="1" applyBorder="1" applyAlignment="1" applyProtection="1">
      <alignment horizontal="left" vertical="center"/>
      <protection locked="0"/>
    </xf>
    <xf numFmtId="0" fontId="11" fillId="0" borderId="34" xfId="1" applyFont="1" applyBorder="1" applyAlignment="1" applyProtection="1">
      <alignment horizontal="left" vertical="center"/>
      <protection locked="0"/>
    </xf>
    <xf numFmtId="0" fontId="11" fillId="0" borderId="47" xfId="1" applyFont="1" applyBorder="1" applyAlignment="1" applyProtection="1">
      <alignment horizontal="left" vertical="center"/>
      <protection locked="0"/>
    </xf>
    <xf numFmtId="0" fontId="11" fillId="0" borderId="35" xfId="1" applyFont="1" applyBorder="1" applyAlignment="1" applyProtection="1">
      <alignment horizontal="left" vertical="center"/>
      <protection locked="0"/>
    </xf>
    <xf numFmtId="0" fontId="11" fillId="0" borderId="48" xfId="1" applyFont="1" applyBorder="1" applyAlignment="1" applyProtection="1">
      <alignment horizontal="left" vertical="center"/>
      <protection locked="0"/>
    </xf>
    <xf numFmtId="0" fontId="11" fillId="0" borderId="30" xfId="1" applyFont="1" applyBorder="1" applyAlignment="1" applyProtection="1">
      <alignment horizontal="left" vertical="center"/>
      <protection locked="0"/>
    </xf>
    <xf numFmtId="0" fontId="11" fillId="0" borderId="49" xfId="1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6" borderId="44" xfId="1" applyFont="1" applyFill="1" applyBorder="1" applyAlignment="1" applyProtection="1">
      <alignment horizontal="center" vertical="center"/>
      <protection locked="0"/>
    </xf>
    <xf numFmtId="0" fontId="5" fillId="6" borderId="46" xfId="1" applyFont="1" applyFill="1" applyBorder="1" applyAlignment="1" applyProtection="1">
      <alignment horizontal="center" vertical="center"/>
      <protection locked="0"/>
    </xf>
    <xf numFmtId="0" fontId="5" fillId="7" borderId="11" xfId="1" applyFont="1" applyFill="1" applyBorder="1" applyAlignment="1" applyProtection="1">
      <alignment horizontal="center" vertical="center"/>
      <protection locked="0"/>
    </xf>
    <xf numFmtId="0" fontId="5" fillId="7" borderId="21" xfId="1" applyFont="1" applyFill="1" applyBorder="1" applyAlignment="1" applyProtection="1">
      <alignment horizontal="center" vertical="center"/>
      <protection locked="0"/>
    </xf>
    <xf numFmtId="0" fontId="4" fillId="0" borderId="35" xfId="1" applyFont="1" applyBorder="1" applyAlignment="1" applyProtection="1">
      <alignment horizontal="left" vertical="center"/>
      <protection locked="0"/>
    </xf>
    <xf numFmtId="0" fontId="4" fillId="0" borderId="48" xfId="1" applyFont="1" applyBorder="1" applyAlignment="1" applyProtection="1">
      <alignment horizontal="left" vertical="center"/>
      <protection locked="0"/>
    </xf>
    <xf numFmtId="0" fontId="4" fillId="0" borderId="30" xfId="1" applyFont="1" applyBorder="1" applyAlignment="1" applyProtection="1">
      <alignment horizontal="left" vertical="center"/>
      <protection locked="0"/>
    </xf>
    <xf numFmtId="0" fontId="4" fillId="0" borderId="49" xfId="1" applyFont="1" applyBorder="1" applyAlignment="1" applyProtection="1">
      <alignment horizontal="left" vertical="center"/>
      <protection locked="0"/>
    </xf>
    <xf numFmtId="0" fontId="10" fillId="7" borderId="35" xfId="0" applyFont="1" applyFill="1" applyBorder="1" applyAlignment="1">
      <alignment horizontal="left" vertical="center" wrapText="1"/>
    </xf>
    <xf numFmtId="0" fontId="10" fillId="7" borderId="8" xfId="0" applyFont="1" applyFill="1" applyBorder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14" fontId="15" fillId="7" borderId="11" xfId="0" applyNumberFormat="1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5" fillId="7" borderId="12" xfId="1" applyFont="1" applyFill="1" applyBorder="1" applyAlignment="1" applyProtection="1">
      <alignment horizontal="center" vertical="center"/>
      <protection locked="0"/>
    </xf>
    <xf numFmtId="0" fontId="11" fillId="7" borderId="20" xfId="1" applyFont="1" applyFill="1" applyBorder="1" applyAlignment="1" applyProtection="1">
      <alignment horizontal="left" vertical="center"/>
      <protection locked="0"/>
    </xf>
    <xf numFmtId="0" fontId="11" fillId="7" borderId="11" xfId="1" applyFont="1" applyFill="1" applyBorder="1" applyAlignment="1" applyProtection="1">
      <alignment horizontal="left" vertical="center"/>
      <protection locked="0"/>
    </xf>
    <xf numFmtId="0" fontId="5" fillId="7" borderId="43" xfId="1" applyFont="1" applyFill="1" applyBorder="1" applyAlignment="1" applyProtection="1">
      <alignment horizontal="center" vertical="center"/>
      <protection locked="0"/>
    </xf>
    <xf numFmtId="0" fontId="5" fillId="7" borderId="28" xfId="1" applyFont="1" applyFill="1" applyBorder="1" applyAlignment="1" applyProtection="1">
      <alignment horizontal="center" vertical="center"/>
      <protection locked="0"/>
    </xf>
    <xf numFmtId="0" fontId="5" fillId="7" borderId="44" xfId="1" applyFont="1" applyFill="1" applyBorder="1" applyAlignment="1" applyProtection="1">
      <alignment horizontal="center" vertical="center"/>
      <protection locked="0"/>
    </xf>
    <xf numFmtId="0" fontId="5" fillId="7" borderId="27" xfId="1" applyFont="1" applyFill="1" applyBorder="1" applyAlignment="1" applyProtection="1">
      <alignment horizontal="center" vertical="center"/>
      <protection locked="0"/>
    </xf>
    <xf numFmtId="0" fontId="11" fillId="6" borderId="45" xfId="1" applyFont="1" applyFill="1" applyBorder="1" applyAlignment="1" applyProtection="1">
      <alignment horizontal="left" vertical="center"/>
      <protection locked="0"/>
    </xf>
    <xf numFmtId="0" fontId="11" fillId="6" borderId="44" xfId="1" applyFont="1" applyFill="1" applyBorder="1" applyAlignment="1" applyProtection="1">
      <alignment horizontal="left" vertical="center"/>
      <protection locked="0"/>
    </xf>
    <xf numFmtId="0" fontId="15" fillId="6" borderId="1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left" vertical="center" wrapText="1"/>
    </xf>
    <xf numFmtId="0" fontId="10" fillId="7" borderId="33" xfId="0" applyFont="1" applyFill="1" applyBorder="1" applyAlignment="1">
      <alignment horizontal="left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5">
    <cellStyle name="60% - Énfasis4" xfId="2" builtinId="44"/>
    <cellStyle name="Millares [0]" xfId="3" builtinId="6"/>
    <cellStyle name="Normal" xfId="0" builtinId="0"/>
    <cellStyle name="Normal 68" xfId="1" xr:uid="{00000000-0005-0000-0000-000003000000}"/>
    <cellStyle name="Porcentaje" xfId="4" builtinId="5"/>
  </cellStyles>
  <dxfs count="0"/>
  <tableStyles count="0" defaultTableStyle="TableStyleMedium2" defaultPivotStyle="PivotStyleLight16"/>
  <colors>
    <mruColors>
      <color rgb="FF99FFCC"/>
      <color rgb="FF66FF66"/>
      <color rgb="FFFFCCFF"/>
      <color rgb="FF9AE4B3"/>
      <color rgb="FFFF99FF"/>
      <color rgb="FFCC66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591541</xdr:colOff>
      <xdr:row>1</xdr:row>
      <xdr:rowOff>321513</xdr:rowOff>
    </xdr:from>
    <xdr:to>
      <xdr:col>3</xdr:col>
      <xdr:colOff>1177921</xdr:colOff>
      <xdr:row>3</xdr:row>
      <xdr:rowOff>283585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1A0922-5570-4D54-9CDE-420E9C072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845" b="11332"/>
        <a:stretch/>
      </xdr:blipFill>
      <xdr:spPr>
        <a:xfrm>
          <a:off x="972541" y="1464513"/>
          <a:ext cx="2515193" cy="1105072"/>
        </a:xfrm>
        <a:prstGeom prst="rect">
          <a:avLst/>
        </a:prstGeom>
      </xdr:spPr>
    </xdr:pic>
    <xdr:clientData/>
  </xdr:twoCellAnchor>
  <xdr:twoCellAnchor editAs="oneCell">
    <xdr:from>
      <xdr:col>40</xdr:col>
      <xdr:colOff>294409</xdr:colOff>
      <xdr:row>0</xdr:row>
      <xdr:rowOff>0</xdr:rowOff>
    </xdr:from>
    <xdr:to>
      <xdr:col>46</xdr:col>
      <xdr:colOff>899367</xdr:colOff>
      <xdr:row>10</xdr:row>
      <xdr:rowOff>212939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7AEC5F8-B990-888E-FE3D-4F1FFEAAB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19318" y="0"/>
          <a:ext cx="10164594" cy="5668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I71"/>
  <sheetViews>
    <sheetView topLeftCell="E2" workbookViewId="0">
      <selection activeCell="G20" sqref="G20"/>
    </sheetView>
  </sheetViews>
  <sheetFormatPr defaultColWidth="10.76171875" defaultRowHeight="15" x14ac:dyDescent="0.2"/>
  <cols>
    <col min="1" max="1" width="11.02734375" style="8" customWidth="1"/>
    <col min="2" max="2" width="13.71875" style="8" customWidth="1"/>
    <col min="3" max="3" width="8.203125" style="8" bestFit="1" customWidth="1"/>
    <col min="4" max="8" width="13.71875" style="8" customWidth="1"/>
    <col min="9" max="9" width="16.41015625" style="8" bestFit="1" customWidth="1"/>
    <col min="10" max="10" width="25.2890625" style="8" bestFit="1" customWidth="1"/>
    <col min="11" max="11" width="17.62109375" style="8" bestFit="1" customWidth="1"/>
    <col min="12" max="12" width="8.203125" style="8" bestFit="1" customWidth="1"/>
    <col min="13" max="13" width="10.22265625" style="8" customWidth="1"/>
    <col min="14" max="21" width="10.76171875" style="8"/>
    <col min="22" max="22" width="25.15234375" style="8" bestFit="1" customWidth="1"/>
    <col min="23" max="25" width="10.76171875" style="8"/>
    <col min="26" max="26" width="21.5234375" style="8" bestFit="1" customWidth="1"/>
    <col min="27" max="27" width="10.76171875" style="8"/>
    <col min="28" max="28" width="25.15234375" style="8" bestFit="1" customWidth="1"/>
    <col min="29" max="31" width="10.76171875" style="8"/>
    <col min="32" max="32" width="21.5234375" style="8" bestFit="1" customWidth="1"/>
    <col min="33" max="16384" width="10.76171875" style="8"/>
  </cols>
  <sheetData>
    <row r="2" spans="1:35" s="9" customFormat="1" ht="41.25" x14ac:dyDescent="0.2">
      <c r="A2" s="9" t="s">
        <v>87</v>
      </c>
      <c r="B2" s="9" t="s">
        <v>5</v>
      </c>
      <c r="C2" s="9" t="s">
        <v>6</v>
      </c>
      <c r="D2" s="9" t="s">
        <v>7</v>
      </c>
      <c r="E2" s="9" t="s">
        <v>8</v>
      </c>
      <c r="F2" s="9" t="s">
        <v>9</v>
      </c>
      <c r="G2" s="9" t="s">
        <v>10</v>
      </c>
      <c r="H2" s="9" t="s">
        <v>22</v>
      </c>
      <c r="I2" s="9" t="s">
        <v>23</v>
      </c>
      <c r="J2" s="9" t="s">
        <v>24</v>
      </c>
      <c r="K2" s="9" t="s">
        <v>49</v>
      </c>
      <c r="L2" s="9" t="s">
        <v>50</v>
      </c>
      <c r="M2" s="9" t="s">
        <v>35</v>
      </c>
      <c r="N2" s="9" t="s">
        <v>66</v>
      </c>
      <c r="O2" s="9" t="s">
        <v>82</v>
      </c>
      <c r="P2" s="9" t="s">
        <v>84</v>
      </c>
      <c r="Q2" s="9" t="s">
        <v>88</v>
      </c>
      <c r="R2" s="9" t="s">
        <v>89</v>
      </c>
      <c r="S2" s="9" t="s">
        <v>109</v>
      </c>
      <c r="T2" s="9" t="s">
        <v>149</v>
      </c>
      <c r="U2" s="9" t="s">
        <v>168</v>
      </c>
      <c r="V2" s="9" t="s">
        <v>174</v>
      </c>
      <c r="W2" s="9" t="s">
        <v>170</v>
      </c>
      <c r="X2" s="9" t="s">
        <v>171</v>
      </c>
      <c r="Y2" s="9" t="s">
        <v>175</v>
      </c>
      <c r="Z2" s="9" t="s">
        <v>176</v>
      </c>
      <c r="AB2" s="9" t="s">
        <v>117</v>
      </c>
      <c r="AC2" s="9">
        <v>15</v>
      </c>
      <c r="AD2" s="9">
        <v>35</v>
      </c>
      <c r="AE2" s="9" t="s">
        <v>132</v>
      </c>
    </row>
    <row r="3" spans="1:35" x14ac:dyDescent="0.2">
      <c r="A3" s="8">
        <v>1</v>
      </c>
      <c r="B3" s="8" t="s">
        <v>146</v>
      </c>
      <c r="C3" s="8">
        <v>1</v>
      </c>
      <c r="D3" s="8">
        <v>150</v>
      </c>
      <c r="E3" s="8" t="s">
        <v>12</v>
      </c>
      <c r="F3" s="8" t="s">
        <v>17</v>
      </c>
      <c r="G3" s="8" t="s">
        <v>20</v>
      </c>
      <c r="H3" s="8">
        <v>0</v>
      </c>
      <c r="I3" s="8" t="s">
        <v>42</v>
      </c>
      <c r="J3" s="8" t="s">
        <v>44</v>
      </c>
      <c r="K3" s="8" t="s">
        <v>28</v>
      </c>
      <c r="L3" s="8" t="s">
        <v>33</v>
      </c>
      <c r="M3" s="8" t="s">
        <v>37</v>
      </c>
      <c r="N3" s="8">
        <v>2</v>
      </c>
      <c r="O3" s="8">
        <v>0</v>
      </c>
      <c r="P3" s="8" t="s">
        <v>85</v>
      </c>
      <c r="Q3" s="8" t="s">
        <v>92</v>
      </c>
      <c r="R3" s="8" t="s">
        <v>93</v>
      </c>
      <c r="S3" s="8" t="s">
        <v>110</v>
      </c>
      <c r="T3" s="8">
        <v>1</v>
      </c>
      <c r="U3" s="8" t="s">
        <v>146</v>
      </c>
      <c r="V3" s="8">
        <v>1</v>
      </c>
      <c r="W3" s="8">
        <v>1</v>
      </c>
      <c r="X3" s="8">
        <v>1</v>
      </c>
      <c r="Y3" s="8">
        <v>1</v>
      </c>
      <c r="Z3" s="8">
        <v>0</v>
      </c>
      <c r="AB3" s="8" t="s">
        <v>118</v>
      </c>
      <c r="AC3" s="8">
        <v>4.3</v>
      </c>
      <c r="AD3" s="8">
        <v>4.5999999999999996</v>
      </c>
    </row>
    <row r="4" spans="1:35" x14ac:dyDescent="0.2">
      <c r="A4" s="8">
        <v>1.5</v>
      </c>
      <c r="B4" s="8" t="s">
        <v>36</v>
      </c>
      <c r="C4" s="8">
        <v>2</v>
      </c>
      <c r="D4" s="8">
        <v>225</v>
      </c>
      <c r="E4" s="8" t="s">
        <v>15</v>
      </c>
      <c r="F4" s="8" t="s">
        <v>18</v>
      </c>
      <c r="G4" s="8" t="s">
        <v>21</v>
      </c>
      <c r="H4" s="8">
        <v>0.5</v>
      </c>
      <c r="I4" s="8" t="s">
        <v>40</v>
      </c>
      <c r="J4" s="8" t="s">
        <v>196</v>
      </c>
      <c r="K4" s="8" t="s">
        <v>101</v>
      </c>
      <c r="L4" s="8" t="s">
        <v>34</v>
      </c>
      <c r="M4" s="8" t="s">
        <v>36</v>
      </c>
      <c r="N4" s="8">
        <v>3</v>
      </c>
      <c r="O4" s="8">
        <v>1</v>
      </c>
      <c r="P4" s="8" t="s">
        <v>83</v>
      </c>
      <c r="Q4" s="8" t="s">
        <v>91</v>
      </c>
      <c r="R4" s="8" t="s">
        <v>94</v>
      </c>
      <c r="S4" s="8" t="s">
        <v>111</v>
      </c>
      <c r="T4" s="19">
        <v>1.6666666666666665</v>
      </c>
      <c r="U4" s="8" t="s">
        <v>36</v>
      </c>
      <c r="V4" s="8">
        <v>2</v>
      </c>
      <c r="W4" s="8">
        <v>2</v>
      </c>
      <c r="X4" s="8">
        <v>2</v>
      </c>
      <c r="Y4" s="8">
        <v>2</v>
      </c>
      <c r="Z4" s="8">
        <v>0.5</v>
      </c>
      <c r="AB4" s="8" t="s">
        <v>119</v>
      </c>
      <c r="AC4" s="8" t="s">
        <v>120</v>
      </c>
      <c r="AD4" s="8">
        <v>1500000</v>
      </c>
      <c r="AE4" s="8" t="s">
        <v>121</v>
      </c>
    </row>
    <row r="5" spans="1:35" x14ac:dyDescent="0.2">
      <c r="A5" s="8">
        <v>2</v>
      </c>
      <c r="C5" s="8">
        <v>3</v>
      </c>
      <c r="D5" s="8">
        <v>250</v>
      </c>
      <c r="E5" s="8" t="s">
        <v>13</v>
      </c>
      <c r="F5" s="8" t="s">
        <v>19</v>
      </c>
      <c r="H5" s="8">
        <v>1</v>
      </c>
      <c r="I5" s="8" t="s">
        <v>43</v>
      </c>
      <c r="J5" s="8" t="s">
        <v>26</v>
      </c>
      <c r="K5" s="8" t="s">
        <v>29</v>
      </c>
      <c r="L5" s="8" t="s">
        <v>11</v>
      </c>
      <c r="N5" s="8">
        <v>3.5</v>
      </c>
      <c r="O5" s="8">
        <v>2</v>
      </c>
      <c r="P5" s="8" t="s">
        <v>86</v>
      </c>
      <c r="Q5" s="8" t="s">
        <v>96</v>
      </c>
      <c r="R5" s="8" t="s">
        <v>95</v>
      </c>
      <c r="T5" s="8">
        <v>2</v>
      </c>
      <c r="V5" s="8">
        <v>3</v>
      </c>
      <c r="W5" s="8">
        <v>3</v>
      </c>
      <c r="X5" s="8">
        <v>3</v>
      </c>
      <c r="Y5" s="8">
        <v>3</v>
      </c>
      <c r="Z5" s="8">
        <v>1</v>
      </c>
      <c r="AB5" s="8" t="s">
        <v>122</v>
      </c>
      <c r="AC5" s="8">
        <v>3.23</v>
      </c>
      <c r="AD5" s="8" t="s">
        <v>123</v>
      </c>
    </row>
    <row r="6" spans="1:35" x14ac:dyDescent="0.2">
      <c r="A6" s="8">
        <v>2.5</v>
      </c>
      <c r="C6" s="8">
        <v>4</v>
      </c>
      <c r="D6" s="8" t="s">
        <v>54</v>
      </c>
      <c r="E6" s="8" t="s">
        <v>16</v>
      </c>
      <c r="H6" s="8">
        <v>1.5</v>
      </c>
      <c r="I6" s="8" t="s">
        <v>41</v>
      </c>
      <c r="J6" s="8" t="s">
        <v>40</v>
      </c>
      <c r="K6" s="8" t="s">
        <v>27</v>
      </c>
      <c r="O6" s="8">
        <v>3</v>
      </c>
      <c r="P6" s="8" t="s">
        <v>143</v>
      </c>
      <c r="R6" s="8" t="s">
        <v>104</v>
      </c>
      <c r="T6" s="8">
        <v>3</v>
      </c>
      <c r="V6" s="8">
        <v>4</v>
      </c>
      <c r="X6" s="8">
        <v>4</v>
      </c>
      <c r="Y6" s="8">
        <v>4</v>
      </c>
      <c r="Z6" s="8">
        <v>1.5</v>
      </c>
      <c r="AB6" s="8" t="s">
        <v>124</v>
      </c>
      <c r="AC6" s="8" t="s">
        <v>125</v>
      </c>
      <c r="AD6" s="8">
        <v>1.667</v>
      </c>
      <c r="AE6" s="8" t="s">
        <v>123</v>
      </c>
    </row>
    <row r="7" spans="1:35" x14ac:dyDescent="0.2">
      <c r="A7" s="8">
        <v>3</v>
      </c>
      <c r="C7" s="8">
        <v>5</v>
      </c>
      <c r="D7" s="8" t="s">
        <v>11</v>
      </c>
      <c r="E7" s="8" t="s">
        <v>80</v>
      </c>
      <c r="H7" s="8">
        <v>2</v>
      </c>
      <c r="I7" s="8" t="s">
        <v>25</v>
      </c>
      <c r="J7" s="8" t="s">
        <v>195</v>
      </c>
      <c r="K7" s="8" t="s">
        <v>30</v>
      </c>
      <c r="O7" s="8">
        <v>4</v>
      </c>
      <c r="T7" s="8">
        <v>4</v>
      </c>
      <c r="V7" s="8">
        <v>5</v>
      </c>
      <c r="Y7" s="8">
        <v>5</v>
      </c>
      <c r="Z7" s="8">
        <v>2</v>
      </c>
      <c r="AB7" s="8" t="s">
        <v>138</v>
      </c>
      <c r="AC7" s="8">
        <v>20</v>
      </c>
      <c r="AD7" s="8">
        <f>AC7*0.01</f>
        <v>0.2</v>
      </c>
      <c r="AE7" s="8" t="s">
        <v>135</v>
      </c>
      <c r="AF7" s="8" t="s">
        <v>115</v>
      </c>
      <c r="AG7" s="8">
        <v>27.2</v>
      </c>
      <c r="AH7" s="8">
        <v>0.3</v>
      </c>
      <c r="AI7" s="8" t="s">
        <v>135</v>
      </c>
    </row>
    <row r="8" spans="1:35" x14ac:dyDescent="0.2">
      <c r="A8" s="8">
        <v>3.5</v>
      </c>
      <c r="C8" s="8">
        <v>6</v>
      </c>
      <c r="E8" s="8" t="s">
        <v>14</v>
      </c>
      <c r="H8" s="8">
        <v>2.5</v>
      </c>
      <c r="J8" s="8" t="s">
        <v>25</v>
      </c>
      <c r="K8" s="8" t="s">
        <v>102</v>
      </c>
      <c r="O8" s="8">
        <v>5</v>
      </c>
      <c r="V8" s="8">
        <v>6</v>
      </c>
      <c r="Z8" s="8">
        <v>2.5</v>
      </c>
      <c r="AB8" s="8" t="s">
        <v>130</v>
      </c>
      <c r="AC8" s="8">
        <v>30</v>
      </c>
      <c r="AD8" s="8">
        <v>60</v>
      </c>
      <c r="AE8" s="8" t="s">
        <v>131</v>
      </c>
    </row>
    <row r="9" spans="1:35" x14ac:dyDescent="0.2">
      <c r="A9" s="8">
        <v>4</v>
      </c>
      <c r="C9" s="8">
        <v>7</v>
      </c>
      <c r="E9" s="8" t="s">
        <v>38</v>
      </c>
      <c r="H9" s="8">
        <v>3</v>
      </c>
      <c r="K9" s="8" t="s">
        <v>32</v>
      </c>
      <c r="O9" s="8">
        <v>6</v>
      </c>
      <c r="V9" s="8">
        <v>7</v>
      </c>
      <c r="Z9" s="8">
        <v>3</v>
      </c>
      <c r="AB9" s="8" t="s">
        <v>126</v>
      </c>
      <c r="AC9" s="8">
        <v>1.1499999999999999</v>
      </c>
      <c r="AD9" s="8">
        <f>AC9*0.05</f>
        <v>5.7499999999999996E-2</v>
      </c>
      <c r="AE9" s="8" t="s">
        <v>127</v>
      </c>
    </row>
    <row r="10" spans="1:35" x14ac:dyDescent="0.2">
      <c r="A10" s="8">
        <v>4.5</v>
      </c>
      <c r="C10" s="8">
        <v>8</v>
      </c>
      <c r="E10" s="8" t="s">
        <v>47</v>
      </c>
      <c r="H10" s="8">
        <v>3.5</v>
      </c>
      <c r="K10" s="8" t="s">
        <v>103</v>
      </c>
      <c r="O10" s="8">
        <v>7</v>
      </c>
      <c r="V10" s="8">
        <v>8</v>
      </c>
      <c r="Z10" s="8">
        <v>3.5</v>
      </c>
      <c r="AB10" s="8" t="s">
        <v>128</v>
      </c>
      <c r="AC10" s="8">
        <v>5.2</v>
      </c>
      <c r="AD10" s="8">
        <v>0.04</v>
      </c>
      <c r="AE10" s="8" t="s">
        <v>129</v>
      </c>
      <c r="AF10" s="8" t="s">
        <v>137</v>
      </c>
      <c r="AG10" s="8">
        <v>7.1</v>
      </c>
      <c r="AH10" s="8">
        <v>0.04</v>
      </c>
      <c r="AI10" s="8" t="s">
        <v>141</v>
      </c>
    </row>
    <row r="11" spans="1:35" x14ac:dyDescent="0.2">
      <c r="A11" s="8">
        <v>5</v>
      </c>
      <c r="C11" s="8">
        <v>9</v>
      </c>
      <c r="E11" s="8" t="s">
        <v>81</v>
      </c>
      <c r="H11" s="8">
        <v>4</v>
      </c>
      <c r="K11" s="8" t="s">
        <v>31</v>
      </c>
      <c r="O11" s="8">
        <v>8</v>
      </c>
      <c r="V11" s="8">
        <v>9</v>
      </c>
      <c r="Z11" s="8">
        <v>4</v>
      </c>
    </row>
    <row r="12" spans="1:35" ht="60" customHeight="1" x14ac:dyDescent="0.2">
      <c r="A12" s="8">
        <v>5.5</v>
      </c>
      <c r="C12" s="8">
        <v>10</v>
      </c>
      <c r="H12" s="8">
        <v>4.5</v>
      </c>
      <c r="O12" s="8">
        <v>9</v>
      </c>
      <c r="V12" s="8">
        <v>10</v>
      </c>
      <c r="Z12" s="8">
        <v>4.5</v>
      </c>
      <c r="AD12" s="8" t="s">
        <v>129</v>
      </c>
      <c r="AE12" s="236" t="s">
        <v>136</v>
      </c>
      <c r="AF12" s="236"/>
    </row>
    <row r="13" spans="1:35" x14ac:dyDescent="0.2">
      <c r="A13" s="8">
        <v>6</v>
      </c>
      <c r="C13" s="8">
        <v>11</v>
      </c>
      <c r="H13" s="8">
        <v>5</v>
      </c>
      <c r="O13" s="8">
        <v>10</v>
      </c>
      <c r="Z13" s="8">
        <v>5</v>
      </c>
      <c r="AB13" s="8" t="s">
        <v>133</v>
      </c>
      <c r="AC13" s="16">
        <f>PI()*(3*25.4/2000)^2</f>
        <v>4.5603673118774788E-3</v>
      </c>
      <c r="AD13" s="17">
        <f>AC13*$AC$9*1000</f>
        <v>5.2444224086590996</v>
      </c>
      <c r="AE13" s="18">
        <f>($AC$7-$AD$7)/$AD$13</f>
        <v>3.7754395922243207</v>
      </c>
      <c r="AF13" s="18">
        <f>($AC$7+$AD$7)/$AD$13</f>
        <v>3.8517110991379431</v>
      </c>
    </row>
    <row r="14" spans="1:35" x14ac:dyDescent="0.2">
      <c r="A14" s="8">
        <v>6.5</v>
      </c>
      <c r="C14" s="8">
        <v>12</v>
      </c>
      <c r="H14" s="8">
        <v>5.5</v>
      </c>
      <c r="O14" s="8">
        <v>11</v>
      </c>
      <c r="Z14" s="8">
        <v>5.5</v>
      </c>
      <c r="AB14" s="8" t="s">
        <v>134</v>
      </c>
      <c r="AC14" s="16">
        <f>PI()*(3.5*25.4/2000)^2</f>
        <v>6.2071666189443464E-3</v>
      </c>
      <c r="AD14" s="17">
        <f>AC14*$AC$9*1000</f>
        <v>7.1382416117859977</v>
      </c>
    </row>
    <row r="15" spans="1:35" x14ac:dyDescent="0.2">
      <c r="A15" s="8">
        <v>7</v>
      </c>
      <c r="C15" s="8">
        <v>13</v>
      </c>
      <c r="H15" s="8">
        <v>6</v>
      </c>
      <c r="O15" s="8">
        <v>12</v>
      </c>
      <c r="Z15" s="8">
        <v>6</v>
      </c>
      <c r="AE15" s="8">
        <f>AE13*$AD$14</f>
        <v>26.950000000000006</v>
      </c>
      <c r="AF15" s="18">
        <f>AF13*$AD$14</f>
        <v>27.494444444444447</v>
      </c>
    </row>
    <row r="16" spans="1:35" x14ac:dyDescent="0.2">
      <c r="A16" s="8">
        <v>7.5</v>
      </c>
      <c r="C16" s="8">
        <v>14</v>
      </c>
      <c r="H16" s="8">
        <v>6.5</v>
      </c>
      <c r="O16" s="8">
        <v>13</v>
      </c>
      <c r="Z16" s="8">
        <v>6.5</v>
      </c>
      <c r="AE16" s="8">
        <v>27.2</v>
      </c>
    </row>
    <row r="17" spans="1:32" x14ac:dyDescent="0.2">
      <c r="A17" s="8">
        <v>8</v>
      </c>
      <c r="C17" s="8">
        <v>15</v>
      </c>
      <c r="H17" s="8">
        <v>7</v>
      </c>
      <c r="O17" s="8">
        <v>14</v>
      </c>
      <c r="Z17" s="8">
        <v>7</v>
      </c>
      <c r="AE17" s="18">
        <f>(AE16-AE15)/AE16</f>
        <v>9.1911764705879737E-3</v>
      </c>
      <c r="AF17" s="18">
        <f>(AF15-AE16)/AE16</f>
        <v>1.0825163398692935E-2</v>
      </c>
    </row>
    <row r="18" spans="1:32" x14ac:dyDescent="0.2">
      <c r="A18" s="8">
        <v>8.5</v>
      </c>
      <c r="C18" s="8">
        <v>16</v>
      </c>
      <c r="H18" s="8">
        <v>7.5</v>
      </c>
      <c r="O18" s="8">
        <v>15</v>
      </c>
      <c r="Z18" s="8">
        <v>7.5</v>
      </c>
    </row>
    <row r="19" spans="1:32" x14ac:dyDescent="0.2">
      <c r="A19" s="8">
        <v>9</v>
      </c>
      <c r="C19" s="8">
        <v>17</v>
      </c>
      <c r="H19" s="8">
        <v>8</v>
      </c>
      <c r="O19" s="8">
        <v>16</v>
      </c>
      <c r="Z19" s="8">
        <v>8</v>
      </c>
    </row>
    <row r="20" spans="1:32" x14ac:dyDescent="0.2">
      <c r="A20" s="8">
        <v>9.5</v>
      </c>
      <c r="C20" s="8">
        <v>18</v>
      </c>
      <c r="H20" s="8">
        <v>8.5</v>
      </c>
      <c r="O20" s="8">
        <v>17</v>
      </c>
      <c r="Z20" s="8">
        <v>8.5</v>
      </c>
    </row>
    <row r="21" spans="1:32" x14ac:dyDescent="0.2">
      <c r="A21" s="8">
        <v>10</v>
      </c>
      <c r="C21" s="8">
        <v>19</v>
      </c>
      <c r="H21" s="8">
        <v>9</v>
      </c>
      <c r="O21" s="8">
        <v>18</v>
      </c>
      <c r="Z21" s="8">
        <v>9</v>
      </c>
    </row>
    <row r="22" spans="1:32" x14ac:dyDescent="0.2">
      <c r="A22" s="8">
        <v>10.5</v>
      </c>
      <c r="C22" s="8">
        <v>20</v>
      </c>
      <c r="H22" s="8">
        <v>9.5</v>
      </c>
      <c r="O22" s="8">
        <v>19</v>
      </c>
      <c r="Z22" s="8">
        <v>9.5</v>
      </c>
      <c r="AC22" s="8">
        <f>AC9-AD9</f>
        <v>1.0924999999999998</v>
      </c>
      <c r="AD22" s="8">
        <f>AC9+AD9</f>
        <v>1.2075</v>
      </c>
    </row>
    <row r="23" spans="1:32" x14ac:dyDescent="0.2">
      <c r="A23" s="8">
        <v>11</v>
      </c>
      <c r="H23" s="8">
        <v>10</v>
      </c>
      <c r="O23" s="8">
        <v>20</v>
      </c>
      <c r="Z23" s="8">
        <v>10</v>
      </c>
    </row>
    <row r="24" spans="1:32" x14ac:dyDescent="0.2">
      <c r="A24" s="8">
        <v>11.5</v>
      </c>
      <c r="H24" s="8">
        <v>10.5</v>
      </c>
      <c r="O24" s="8">
        <v>21</v>
      </c>
    </row>
    <row r="25" spans="1:32" x14ac:dyDescent="0.2">
      <c r="A25" s="8">
        <v>12</v>
      </c>
      <c r="H25" s="8">
        <v>11</v>
      </c>
      <c r="O25" s="8">
        <v>22</v>
      </c>
    </row>
    <row r="26" spans="1:32" x14ac:dyDescent="0.2">
      <c r="A26" s="8">
        <v>12.5</v>
      </c>
      <c r="H26" s="8">
        <v>11.5</v>
      </c>
      <c r="O26" s="8">
        <v>23</v>
      </c>
    </row>
    <row r="27" spans="1:32" x14ac:dyDescent="0.2">
      <c r="A27" s="8">
        <v>13</v>
      </c>
      <c r="H27" s="8">
        <v>12</v>
      </c>
      <c r="O27" s="8">
        <v>24</v>
      </c>
    </row>
    <row r="28" spans="1:32" x14ac:dyDescent="0.2">
      <c r="A28" s="8">
        <v>13.5</v>
      </c>
      <c r="H28" s="8">
        <v>12.5</v>
      </c>
      <c r="O28" s="8">
        <v>25</v>
      </c>
    </row>
    <row r="29" spans="1:32" x14ac:dyDescent="0.2">
      <c r="A29" s="8">
        <v>14</v>
      </c>
      <c r="H29" s="8">
        <v>13</v>
      </c>
    </row>
    <row r="30" spans="1:32" x14ac:dyDescent="0.2">
      <c r="A30" s="8">
        <v>14.5</v>
      </c>
      <c r="H30" s="8">
        <v>13.5</v>
      </c>
    </row>
    <row r="31" spans="1:32" x14ac:dyDescent="0.2">
      <c r="A31" s="8">
        <v>15</v>
      </c>
      <c r="H31" s="8">
        <v>14</v>
      </c>
    </row>
    <row r="32" spans="1:32" x14ac:dyDescent="0.2">
      <c r="A32" s="8">
        <v>15.5</v>
      </c>
      <c r="H32" s="8">
        <v>14.5</v>
      </c>
    </row>
    <row r="33" spans="1:8" x14ac:dyDescent="0.2">
      <c r="A33" s="8">
        <v>16</v>
      </c>
      <c r="H33" s="8">
        <v>15</v>
      </c>
    </row>
    <row r="34" spans="1:8" x14ac:dyDescent="0.2">
      <c r="A34" s="8">
        <v>16.5</v>
      </c>
      <c r="H34" s="8">
        <v>15.5</v>
      </c>
    </row>
    <row r="35" spans="1:8" x14ac:dyDescent="0.2">
      <c r="A35" s="8">
        <v>17</v>
      </c>
      <c r="H35" s="8">
        <v>16</v>
      </c>
    </row>
    <row r="36" spans="1:8" x14ac:dyDescent="0.2">
      <c r="A36" s="8">
        <v>17.5</v>
      </c>
      <c r="H36" s="8">
        <v>16.5</v>
      </c>
    </row>
    <row r="37" spans="1:8" x14ac:dyDescent="0.2">
      <c r="A37" s="8">
        <v>18</v>
      </c>
      <c r="H37" s="8">
        <v>17</v>
      </c>
    </row>
    <row r="38" spans="1:8" x14ac:dyDescent="0.2">
      <c r="A38" s="8">
        <v>18.5</v>
      </c>
      <c r="H38" s="8">
        <v>17.5</v>
      </c>
    </row>
    <row r="39" spans="1:8" x14ac:dyDescent="0.2">
      <c r="A39" s="8">
        <v>19</v>
      </c>
      <c r="H39" s="8">
        <v>18</v>
      </c>
    </row>
    <row r="40" spans="1:8" x14ac:dyDescent="0.2">
      <c r="A40" s="8">
        <v>19.5</v>
      </c>
      <c r="H40" s="8">
        <v>18.5</v>
      </c>
    </row>
    <row r="41" spans="1:8" x14ac:dyDescent="0.2">
      <c r="A41" s="8">
        <v>20</v>
      </c>
      <c r="H41" s="8">
        <v>19</v>
      </c>
    </row>
    <row r="42" spans="1:8" x14ac:dyDescent="0.2">
      <c r="A42" s="8">
        <v>20.5</v>
      </c>
      <c r="H42" s="8">
        <v>19.5</v>
      </c>
    </row>
    <row r="43" spans="1:8" x14ac:dyDescent="0.2">
      <c r="A43" s="8">
        <v>21</v>
      </c>
      <c r="H43" s="8">
        <v>20</v>
      </c>
    </row>
    <row r="44" spans="1:8" x14ac:dyDescent="0.2">
      <c r="A44" s="8">
        <v>21.5</v>
      </c>
    </row>
    <row r="45" spans="1:8" x14ac:dyDescent="0.2">
      <c r="A45" s="8">
        <v>22</v>
      </c>
    </row>
    <row r="46" spans="1:8" x14ac:dyDescent="0.2">
      <c r="A46" s="8">
        <v>22.5</v>
      </c>
    </row>
    <row r="47" spans="1:8" x14ac:dyDescent="0.2">
      <c r="A47" s="8">
        <v>23</v>
      </c>
    </row>
    <row r="48" spans="1:8" x14ac:dyDescent="0.2">
      <c r="A48" s="8">
        <v>23.5</v>
      </c>
    </row>
    <row r="49" spans="1:1" x14ac:dyDescent="0.2">
      <c r="A49" s="8">
        <v>24</v>
      </c>
    </row>
    <row r="50" spans="1:1" x14ac:dyDescent="0.2">
      <c r="A50" s="8">
        <v>24.5</v>
      </c>
    </row>
    <row r="51" spans="1:1" x14ac:dyDescent="0.2">
      <c r="A51" s="8">
        <v>25</v>
      </c>
    </row>
    <row r="52" spans="1:1" x14ac:dyDescent="0.2">
      <c r="A52" s="8">
        <v>25.5</v>
      </c>
    </row>
    <row r="53" spans="1:1" x14ac:dyDescent="0.2">
      <c r="A53" s="8">
        <v>26</v>
      </c>
    </row>
    <row r="54" spans="1:1" x14ac:dyDescent="0.2">
      <c r="A54" s="8">
        <v>26.5</v>
      </c>
    </row>
    <row r="55" spans="1:1" ht="24.75" customHeight="1" x14ac:dyDescent="0.2">
      <c r="A55" s="8">
        <v>27</v>
      </c>
    </row>
    <row r="56" spans="1:1" x14ac:dyDescent="0.2">
      <c r="A56" s="8">
        <v>27.5</v>
      </c>
    </row>
    <row r="57" spans="1:1" x14ac:dyDescent="0.2">
      <c r="A57" s="8">
        <v>28</v>
      </c>
    </row>
    <row r="58" spans="1:1" x14ac:dyDescent="0.2">
      <c r="A58" s="8">
        <v>28.5</v>
      </c>
    </row>
    <row r="59" spans="1:1" x14ac:dyDescent="0.2">
      <c r="A59" s="8">
        <v>29</v>
      </c>
    </row>
    <row r="60" spans="1:1" x14ac:dyDescent="0.2">
      <c r="A60" s="8">
        <v>29.5</v>
      </c>
    </row>
    <row r="61" spans="1:1" x14ac:dyDescent="0.2">
      <c r="A61" s="8">
        <v>30</v>
      </c>
    </row>
    <row r="62" spans="1:1" x14ac:dyDescent="0.2">
      <c r="A62" s="8">
        <v>30.5</v>
      </c>
    </row>
    <row r="63" spans="1:1" x14ac:dyDescent="0.2">
      <c r="A63" s="8">
        <v>31</v>
      </c>
    </row>
    <row r="64" spans="1:1" x14ac:dyDescent="0.2">
      <c r="A64" s="8">
        <v>31.5</v>
      </c>
    </row>
    <row r="65" spans="1:1" x14ac:dyDescent="0.2">
      <c r="A65" s="8">
        <v>32</v>
      </c>
    </row>
    <row r="66" spans="1:1" x14ac:dyDescent="0.2">
      <c r="A66" s="8">
        <v>32.5</v>
      </c>
    </row>
    <row r="67" spans="1:1" x14ac:dyDescent="0.2">
      <c r="A67" s="8">
        <v>33</v>
      </c>
    </row>
    <row r="68" spans="1:1" x14ac:dyDescent="0.2">
      <c r="A68" s="8">
        <v>33.5</v>
      </c>
    </row>
    <row r="69" spans="1:1" x14ac:dyDescent="0.2">
      <c r="A69" s="8">
        <v>34</v>
      </c>
    </row>
    <row r="70" spans="1:1" x14ac:dyDescent="0.2">
      <c r="A70" s="8">
        <v>34.5</v>
      </c>
    </row>
    <row r="71" spans="1:1" x14ac:dyDescent="0.2">
      <c r="A71" s="8">
        <v>35</v>
      </c>
    </row>
  </sheetData>
  <sortState xmlns:xlrd2="http://schemas.microsoft.com/office/spreadsheetml/2017/richdata2" ref="J20:J25">
    <sortCondition ref="J20:J25"/>
  </sortState>
  <mergeCells count="1">
    <mergeCell ref="AE12:A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BF143"/>
  <sheetViews>
    <sheetView showGridLines="0" tabSelected="1" topLeftCell="L1" zoomScale="55" zoomScaleNormal="55" zoomScaleSheetLayoutView="85" workbookViewId="0">
      <selection activeCell="L22" sqref="L22"/>
    </sheetView>
  </sheetViews>
  <sheetFormatPr defaultColWidth="11.43359375" defaultRowHeight="45" customHeight="1" x14ac:dyDescent="0.2"/>
  <cols>
    <col min="1" max="1" width="3.765625" style="1" customWidth="1"/>
    <col min="2" max="2" width="16.0078125" style="1" customWidth="1"/>
    <col min="3" max="3" width="12.9140625" style="1" bestFit="1" customWidth="1"/>
    <col min="4" max="4" width="20.71484375" style="1" customWidth="1"/>
    <col min="5" max="5" width="12.9140625" style="1" customWidth="1"/>
    <col min="6" max="6" width="23.9453125" style="1" bestFit="1" customWidth="1"/>
    <col min="7" max="7" width="16.41015625" style="1" bestFit="1" customWidth="1"/>
    <col min="8" max="11" width="16.41015625" style="1" customWidth="1"/>
    <col min="12" max="12" width="20.84765625" style="1" customWidth="1"/>
    <col min="13" max="13" width="27.3046875" style="1" bestFit="1" customWidth="1"/>
    <col min="14" max="14" width="20.3125" style="1" customWidth="1"/>
    <col min="15" max="15" width="22.734375" style="1" customWidth="1"/>
    <col min="16" max="16" width="21.25390625" style="1" customWidth="1"/>
    <col min="17" max="17" width="38.3359375" style="1" customWidth="1"/>
    <col min="18" max="18" width="20.84765625" style="1" customWidth="1"/>
    <col min="19" max="19" width="24.34765625" style="1" customWidth="1"/>
    <col min="20" max="20" width="29.7265625" style="1" bestFit="1" customWidth="1"/>
    <col min="21" max="21" width="22.1953125" style="1" customWidth="1"/>
    <col min="22" max="22" width="25.55859375" style="1" customWidth="1"/>
    <col min="23" max="26" width="24.34765625" style="1" customWidth="1"/>
    <col min="27" max="27" width="18.83203125" style="1" customWidth="1"/>
    <col min="28" max="28" width="22.59765625" style="1" customWidth="1"/>
    <col min="29" max="29" width="14.66015625" style="1" customWidth="1"/>
    <col min="30" max="30" width="17.890625" style="1" customWidth="1"/>
    <col min="31" max="31" width="29.0546875" style="1" bestFit="1" customWidth="1"/>
    <col min="32" max="40" width="17.890625" style="1" customWidth="1"/>
    <col min="41" max="52" width="23.80859375" style="1" customWidth="1"/>
    <col min="53" max="16384" width="11.43359375" style="1"/>
  </cols>
  <sheetData>
    <row r="1" spans="1:58" ht="24.75" customHeight="1" thickBot="1" x14ac:dyDescent="0.25"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5"/>
      <c r="U1" s="2"/>
      <c r="V1" s="2"/>
      <c r="W1" s="2"/>
    </row>
    <row r="2" spans="1:58" ht="45" customHeight="1" x14ac:dyDescent="0.2">
      <c r="B2" s="214"/>
      <c r="C2" s="215"/>
      <c r="D2" s="215"/>
      <c r="E2" s="216"/>
      <c r="F2" s="196" t="s">
        <v>2</v>
      </c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7"/>
    </row>
    <row r="3" spans="1:58" ht="45" customHeight="1" x14ac:dyDescent="0.2">
      <c r="B3" s="217"/>
      <c r="C3" s="218"/>
      <c r="D3" s="218"/>
      <c r="E3" s="219"/>
      <c r="F3" s="198" t="s">
        <v>0</v>
      </c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9"/>
      <c r="AE3" s="183" t="s">
        <v>165</v>
      </c>
      <c r="AF3" s="184"/>
    </row>
    <row r="4" spans="1:58" ht="45" customHeight="1" thickBot="1" x14ac:dyDescent="0.25">
      <c r="B4" s="217"/>
      <c r="C4" s="218"/>
      <c r="D4" s="218"/>
      <c r="E4" s="219"/>
      <c r="F4" s="198" t="s">
        <v>1</v>
      </c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9"/>
      <c r="AE4" s="28" t="s">
        <v>166</v>
      </c>
      <c r="AF4" s="27" t="s">
        <v>167</v>
      </c>
    </row>
    <row r="5" spans="1:58" ht="45" customHeight="1" thickBot="1" x14ac:dyDescent="0.3">
      <c r="B5" s="164" t="s">
        <v>39</v>
      </c>
      <c r="C5" s="165"/>
      <c r="D5" s="212" t="s">
        <v>193</v>
      </c>
      <c r="E5" s="213"/>
      <c r="F5" s="164" t="s">
        <v>55</v>
      </c>
      <c r="G5" s="165"/>
      <c r="H5" s="109">
        <v>0.75</v>
      </c>
      <c r="I5" s="104"/>
      <c r="J5" s="104"/>
      <c r="K5" s="104"/>
      <c r="L5" s="105"/>
      <c r="M5" s="223" t="s">
        <v>147</v>
      </c>
      <c r="N5" s="224"/>
      <c r="O5" s="202">
        <v>8</v>
      </c>
      <c r="P5" s="222"/>
      <c r="Q5" s="31" t="s">
        <v>112</v>
      </c>
      <c r="R5" s="43"/>
      <c r="S5" s="20" t="str">
        <f>IF(R5="","",IF(R5&gt;=Hoja1!AC2,IF(R5&lt;=Hoja1!AD2,"Ok","X"),"X"))</f>
        <v/>
      </c>
      <c r="T5" s="48" t="s">
        <v>100</v>
      </c>
      <c r="U5" s="49"/>
      <c r="V5" s="50" t="s">
        <v>98</v>
      </c>
      <c r="W5" s="51"/>
      <c r="X5" s="49"/>
      <c r="Y5" s="220" t="s">
        <v>99</v>
      </c>
      <c r="Z5" s="221"/>
      <c r="AA5" s="26" t="str">
        <f>IF(X5="","",IF(U5="","",X5-U5))</f>
        <v/>
      </c>
      <c r="AB5" s="34"/>
      <c r="AC5" s="35"/>
      <c r="AE5" s="29" t="s">
        <v>168</v>
      </c>
      <c r="AF5" s="30" t="str">
        <f>IF(COUNTIF(M16:M83,"Roto")=0,"",COUNTIF(AD16:AD83,"Sí")/COUNTIF(M16:M83,"Roto"))</f>
        <v/>
      </c>
    </row>
    <row r="6" spans="1:58" ht="45" customHeight="1" thickBot="1" x14ac:dyDescent="0.3">
      <c r="B6" s="210" t="s">
        <v>90</v>
      </c>
      <c r="C6" s="211"/>
      <c r="D6" s="231" t="s">
        <v>34</v>
      </c>
      <c r="E6" s="232"/>
      <c r="F6" s="152" t="s">
        <v>56</v>
      </c>
      <c r="G6" s="153"/>
      <c r="H6" s="106">
        <v>0.85416666666666663</v>
      </c>
      <c r="I6" s="107"/>
      <c r="J6" s="107"/>
      <c r="K6" s="107"/>
      <c r="L6" s="108"/>
      <c r="M6" s="130" t="s">
        <v>148</v>
      </c>
      <c r="N6" s="131"/>
      <c r="O6" s="227">
        <v>41</v>
      </c>
      <c r="P6" s="225">
        <v>43</v>
      </c>
      <c r="Q6" s="32" t="s">
        <v>113</v>
      </c>
      <c r="R6" s="44"/>
      <c r="S6" s="21" t="str">
        <f>IF(R6="","",IF(R6&gt;=Hoja1!AC3,IF(R6&lt;=Hoja1!AD3,"Ok","X"),"X"))</f>
        <v/>
      </c>
      <c r="T6" s="188" t="s">
        <v>105</v>
      </c>
      <c r="U6" s="189"/>
      <c r="V6" s="189"/>
      <c r="W6" s="189"/>
      <c r="X6" s="189"/>
      <c r="Y6" s="189"/>
      <c r="Z6" s="189"/>
      <c r="AA6" s="189"/>
      <c r="AB6" s="189"/>
      <c r="AC6" s="63" t="s">
        <v>107</v>
      </c>
      <c r="AE6" s="29" t="s">
        <v>169</v>
      </c>
      <c r="AF6" s="30" t="str">
        <f>IF(COUNTIF(M16:M83,"Roto")=0,"",COUNTIF(AF16:AF83,"ok")/COUNTIF(M16:M83,"Roto"))</f>
        <v/>
      </c>
    </row>
    <row r="7" spans="1:58" ht="45" customHeight="1" x14ac:dyDescent="0.25">
      <c r="B7" s="210" t="s">
        <v>45</v>
      </c>
      <c r="C7" s="211"/>
      <c r="D7" s="231" t="s">
        <v>27</v>
      </c>
      <c r="E7" s="232"/>
      <c r="F7" s="233" t="s">
        <v>57</v>
      </c>
      <c r="G7" s="234"/>
      <c r="H7" s="103"/>
      <c r="I7" s="104"/>
      <c r="J7" s="104"/>
      <c r="K7" s="104"/>
      <c r="L7" s="105"/>
      <c r="M7" s="130"/>
      <c r="N7" s="131"/>
      <c r="O7" s="228"/>
      <c r="P7" s="226"/>
      <c r="Q7" s="32" t="s">
        <v>114</v>
      </c>
      <c r="R7" s="45"/>
      <c r="S7" s="21" t="str">
        <f>IF(R7="","",IF(R7&gt;=Hoja1!AD4,"Ok","X"))</f>
        <v/>
      </c>
      <c r="T7" s="206" t="s">
        <v>209</v>
      </c>
      <c r="U7" s="207"/>
      <c r="V7" s="207"/>
      <c r="W7" s="207"/>
      <c r="X7" s="207"/>
      <c r="Y7" s="207"/>
      <c r="Z7" s="207"/>
      <c r="AA7" s="207"/>
      <c r="AB7" s="207"/>
      <c r="AC7" s="36"/>
      <c r="AE7" s="29" t="s">
        <v>170</v>
      </c>
      <c r="AF7" s="30" t="str">
        <f>IF(COUNTIF(M16:M83,"Roto")=0,"",COUNTIF(AH16:AH83,"ok")/COUNTIF(M16:M83,"Roto"))</f>
        <v/>
      </c>
    </row>
    <row r="8" spans="1:58" ht="45" customHeight="1" thickBot="1" x14ac:dyDescent="0.3">
      <c r="B8" s="210" t="s">
        <v>88</v>
      </c>
      <c r="C8" s="211"/>
      <c r="D8" s="231" t="s">
        <v>92</v>
      </c>
      <c r="E8" s="235"/>
      <c r="F8" s="208" t="s">
        <v>58</v>
      </c>
      <c r="G8" s="209"/>
      <c r="H8" s="123"/>
      <c r="I8" s="124"/>
      <c r="J8" s="124"/>
      <c r="K8" s="124"/>
      <c r="L8" s="125"/>
      <c r="M8" s="229" t="s">
        <v>149</v>
      </c>
      <c r="N8" s="230"/>
      <c r="O8" s="200">
        <v>3</v>
      </c>
      <c r="P8" s="201"/>
      <c r="Q8" s="32" t="s">
        <v>139</v>
      </c>
      <c r="R8" s="46"/>
      <c r="S8" s="21" t="str">
        <f>IF(R8="","",IF(R8=Hoja1!AC5,"Ok",""))</f>
        <v/>
      </c>
      <c r="T8" s="204"/>
      <c r="U8" s="205"/>
      <c r="V8" s="205"/>
      <c r="W8" s="205"/>
      <c r="X8" s="205"/>
      <c r="Y8" s="205"/>
      <c r="Z8" s="205"/>
      <c r="AA8" s="205"/>
      <c r="AB8" s="205"/>
      <c r="AC8" s="37"/>
      <c r="AE8" s="29" t="s">
        <v>171</v>
      </c>
      <c r="AF8" s="30" t="str">
        <f>IF(COUNTIF(M16:M83,"Roto")=0,"",COUNTIF(AJ16:AJ83,"ok")/COUNTIF(M16:M83,"Roto"))</f>
        <v/>
      </c>
    </row>
    <row r="9" spans="1:58" ht="45" customHeight="1" x14ac:dyDescent="0.25">
      <c r="B9" s="210" t="s">
        <v>89</v>
      </c>
      <c r="C9" s="211"/>
      <c r="D9" s="231" t="s">
        <v>93</v>
      </c>
      <c r="E9" s="235"/>
      <c r="F9" s="208" t="s">
        <v>59</v>
      </c>
      <c r="G9" s="209"/>
      <c r="H9" s="123"/>
      <c r="I9" s="124"/>
      <c r="J9" s="124"/>
      <c r="K9" s="124"/>
      <c r="L9" s="125"/>
      <c r="M9" s="223" t="s">
        <v>150</v>
      </c>
      <c r="N9" s="224"/>
      <c r="O9" s="202"/>
      <c r="P9" s="203"/>
      <c r="Q9" s="32" t="s">
        <v>124</v>
      </c>
      <c r="R9" s="46"/>
      <c r="S9" s="21" t="str">
        <f>IF(R9="","",IF(R9&lt;=Hoja1!AD6,"Ok",""))</f>
        <v/>
      </c>
      <c r="T9" s="204"/>
      <c r="U9" s="205"/>
      <c r="V9" s="205"/>
      <c r="W9" s="205"/>
      <c r="X9" s="205"/>
      <c r="Y9" s="205"/>
      <c r="Z9" s="205"/>
      <c r="AA9" s="205"/>
      <c r="AB9" s="205"/>
      <c r="AC9" s="37"/>
      <c r="AE9" s="29" t="s">
        <v>172</v>
      </c>
      <c r="AF9" s="30" t="str">
        <f>IF(COUNTIF(M16:M83,"Roto")=0,"",COUNTIF(AL16:AL83,"ok")/COUNTIF(M16:M83,"Roto"))</f>
        <v/>
      </c>
    </row>
    <row r="10" spans="1:58" ht="45" customHeight="1" thickBot="1" x14ac:dyDescent="0.3">
      <c r="B10" s="180" t="s">
        <v>155</v>
      </c>
      <c r="C10" s="181"/>
      <c r="D10" s="158" t="str">
        <f>IF(O5&gt;0,CONCATENATE("Z",O5," ","C",O6,"/",P6," ","F",O8),IF(O9&gt;0,CONCATENATE("C",O9," ","P",O10," a ",O11,"neg"),""))</f>
        <v>Z8 C41/43 F3</v>
      </c>
      <c r="E10" s="159"/>
      <c r="F10" s="170" t="s">
        <v>60</v>
      </c>
      <c r="G10" s="171"/>
      <c r="H10" s="122"/>
      <c r="I10" s="107"/>
      <c r="J10" s="107"/>
      <c r="K10" s="107"/>
      <c r="L10" s="108"/>
      <c r="M10" s="130" t="s">
        <v>151</v>
      </c>
      <c r="N10" s="131"/>
      <c r="O10" s="141"/>
      <c r="P10" s="142"/>
      <c r="Q10" s="32" t="s">
        <v>115</v>
      </c>
      <c r="R10" s="46"/>
      <c r="S10" s="21" t="str">
        <f>IF(R10="","",IF(L13=3,IF(R10&gt;=(Hoja1!AC7-Hoja1!AD7),IF(R10&lt;=(Hoja1!AC7+Hoja1!AD7),"Ok","X"),"X"),IF(R10&gt;=(Hoja1!AG7-Hoja1!AH7),IF(R10&lt;=(Hoja1!AG7+Hoja1!AH7),"Ok","X"),"X")))</f>
        <v/>
      </c>
      <c r="T10" s="143"/>
      <c r="U10" s="144"/>
      <c r="V10" s="144"/>
      <c r="W10" s="144"/>
      <c r="X10" s="144"/>
      <c r="Y10" s="144"/>
      <c r="Z10" s="144"/>
      <c r="AA10" s="144"/>
      <c r="AB10" s="144"/>
      <c r="AC10" s="38"/>
      <c r="AE10" s="29" t="s">
        <v>173</v>
      </c>
      <c r="AF10" s="30" t="str">
        <f>IF(COUNTIF(M16:M83,"Roto")=0,"",COUNTIF(AN16:AN83,"ok")/COUNTIF(M16:M83,"Roto"))</f>
        <v/>
      </c>
    </row>
    <row r="11" spans="1:58" ht="45" customHeight="1" thickBot="1" x14ac:dyDescent="0.3">
      <c r="B11" s="178" t="s">
        <v>51</v>
      </c>
      <c r="C11" s="179"/>
      <c r="D11" s="160" t="s">
        <v>40</v>
      </c>
      <c r="E11" s="161"/>
      <c r="F11" s="168" t="s">
        <v>61</v>
      </c>
      <c r="G11" s="169"/>
      <c r="H11" s="119" t="str">
        <f>IF(L10="","",IF(L7="","",L10-L7))</f>
        <v/>
      </c>
      <c r="I11" s="120"/>
      <c r="J11" s="120"/>
      <c r="K11" s="120"/>
      <c r="L11" s="121"/>
      <c r="M11" s="132" t="s">
        <v>152</v>
      </c>
      <c r="N11" s="133"/>
      <c r="O11" s="139"/>
      <c r="P11" s="140"/>
      <c r="Q11" s="32" t="s">
        <v>140</v>
      </c>
      <c r="R11" s="44"/>
      <c r="S11" s="39" t="str">
        <f>IF(R11="","",IF(R11&gt;=Hoja1!AC8,IF(R11&lt;=Hoja1!AD8,"Ok","X"),"X"))</f>
        <v/>
      </c>
      <c r="T11" s="188" t="s">
        <v>106</v>
      </c>
      <c r="U11" s="189"/>
      <c r="V11" s="189"/>
      <c r="W11" s="189"/>
      <c r="X11" s="189"/>
      <c r="Y11" s="189"/>
      <c r="Z11" s="189"/>
      <c r="AA11" s="189"/>
      <c r="AB11" s="189"/>
      <c r="AC11" s="62" t="s">
        <v>107</v>
      </c>
    </row>
    <row r="12" spans="1:58" ht="45" customHeight="1" thickBot="1" x14ac:dyDescent="0.3">
      <c r="B12" s="176" t="s">
        <v>52</v>
      </c>
      <c r="C12" s="177"/>
      <c r="D12" s="162" t="s">
        <v>196</v>
      </c>
      <c r="E12" s="163"/>
      <c r="F12" s="166" t="s">
        <v>62</v>
      </c>
      <c r="G12" s="167"/>
      <c r="H12" s="116" t="str">
        <f>IF(L9="","",IF(L8="","",L9-L8))</f>
        <v/>
      </c>
      <c r="I12" s="117"/>
      <c r="J12" s="117"/>
      <c r="K12" s="117"/>
      <c r="L12" s="118"/>
      <c r="M12" s="135" t="s">
        <v>63</v>
      </c>
      <c r="N12" s="136"/>
      <c r="O12" s="137" t="s">
        <v>199</v>
      </c>
      <c r="P12" s="138"/>
      <c r="Q12" s="25" t="s">
        <v>177</v>
      </c>
      <c r="R12" s="47"/>
      <c r="S12" s="22" t="str">
        <f>IF(R12="","",IF(R12&gt;=(Hoja1!AC9-Hoja1!AD9),IF(R12&lt;=(Hoja1!AC9+Hoja1!AD9),"Ok","X"),"X"))</f>
        <v/>
      </c>
      <c r="T12" s="194"/>
      <c r="U12" s="195"/>
      <c r="V12" s="195"/>
      <c r="W12" s="195"/>
      <c r="X12" s="195"/>
      <c r="Y12" s="195"/>
      <c r="Z12" s="195"/>
      <c r="AA12" s="195"/>
      <c r="AB12" s="195"/>
      <c r="AC12" s="36"/>
    </row>
    <row r="13" spans="1:58" ht="45" customHeight="1" thickBot="1" x14ac:dyDescent="0.3">
      <c r="B13" s="164" t="s">
        <v>53</v>
      </c>
      <c r="C13" s="165"/>
      <c r="D13" s="172" t="s">
        <v>194</v>
      </c>
      <c r="E13" s="173"/>
      <c r="F13" s="174" t="s">
        <v>65</v>
      </c>
      <c r="G13" s="175"/>
      <c r="H13" s="113">
        <v>3</v>
      </c>
      <c r="I13" s="114"/>
      <c r="J13" s="114"/>
      <c r="K13" s="114"/>
      <c r="L13" s="115"/>
      <c r="M13" s="126" t="s">
        <v>48</v>
      </c>
      <c r="N13" s="127"/>
      <c r="O13" s="128">
        <v>2</v>
      </c>
      <c r="P13" s="129"/>
      <c r="Q13" s="23" t="s">
        <v>178</v>
      </c>
      <c r="R13" s="40" t="str">
        <f>IF(L13=3,Hoja1!AC10-Hoja1!AD10,IF(L13=3.5,Hoja1!AG10-Hoja1!AH10,""))</f>
        <v/>
      </c>
      <c r="S13" s="24" t="str">
        <f>IF(L13=3,Hoja1!AC10+Hoja1!AD10,IF(L13=3.5,Hoja1!AG10+Hoja1!AH10,""))</f>
        <v/>
      </c>
      <c r="T13" s="192"/>
      <c r="U13" s="193"/>
      <c r="V13" s="193"/>
      <c r="W13" s="193"/>
      <c r="X13" s="193"/>
      <c r="Y13" s="193"/>
      <c r="Z13" s="193"/>
      <c r="AA13" s="193"/>
      <c r="AB13" s="193"/>
      <c r="AC13" s="37"/>
      <c r="AD13" s="185" t="s">
        <v>180</v>
      </c>
      <c r="AE13" s="186"/>
      <c r="AF13" s="186"/>
      <c r="AG13" s="186"/>
      <c r="AH13" s="186"/>
      <c r="AI13" s="186"/>
      <c r="AJ13" s="186"/>
      <c r="AK13" s="186"/>
      <c r="AL13" s="186"/>
      <c r="AM13" s="186"/>
      <c r="AN13" s="187"/>
    </row>
    <row r="14" spans="1:58" ht="45" customHeight="1" thickBot="1" x14ac:dyDescent="0.3">
      <c r="B14" s="152" t="s">
        <v>46</v>
      </c>
      <c r="C14" s="153"/>
      <c r="D14" s="156" t="s">
        <v>197</v>
      </c>
      <c r="E14" s="157"/>
      <c r="F14" s="154" t="s">
        <v>97</v>
      </c>
      <c r="G14" s="155"/>
      <c r="H14" s="110"/>
      <c r="I14" s="111"/>
      <c r="J14" s="111"/>
      <c r="K14" s="111"/>
      <c r="L14" s="112"/>
      <c r="M14" s="148" t="s">
        <v>64</v>
      </c>
      <c r="N14" s="149"/>
      <c r="O14" s="150">
        <v>10</v>
      </c>
      <c r="P14" s="151"/>
      <c r="Q14" s="25" t="s">
        <v>142</v>
      </c>
      <c r="R14" s="41">
        <f>IF(SUM(L16:L83)=0,"",SUM(P16:P83)/(SUM(L16:L83)-0.032*(COUNT(R16:R83,U16:U83)+SUM(T16:T83,W16:W83))))</f>
        <v>4.0540724969974891</v>
      </c>
      <c r="S14" s="42" t="str">
        <f>IF(R14="","",IF(R14&gt;=R13,IF(R14&lt;=S13,"Ok","Alto"),"Bajo"))</f>
        <v>Bajo</v>
      </c>
      <c r="T14" s="190"/>
      <c r="U14" s="191"/>
      <c r="V14" s="191"/>
      <c r="W14" s="191"/>
      <c r="X14" s="191"/>
      <c r="Y14" s="191"/>
      <c r="Z14" s="191"/>
      <c r="AA14" s="191"/>
      <c r="AB14" s="191"/>
      <c r="AC14" s="38"/>
      <c r="AD14" s="58" t="s">
        <v>156</v>
      </c>
      <c r="AE14" s="134" t="s">
        <v>157</v>
      </c>
      <c r="AF14" s="134"/>
      <c r="AG14" s="145" t="s">
        <v>158</v>
      </c>
      <c r="AH14" s="145"/>
      <c r="AI14" s="134" t="s">
        <v>159</v>
      </c>
      <c r="AJ14" s="134"/>
      <c r="AK14" s="145" t="s">
        <v>160</v>
      </c>
      <c r="AL14" s="145"/>
      <c r="AM14" s="134" t="s">
        <v>161</v>
      </c>
      <c r="AN14" s="182"/>
      <c r="AO14" s="100" t="s">
        <v>192</v>
      </c>
      <c r="AP14" s="101"/>
      <c r="AQ14" s="101"/>
      <c r="AR14" s="101"/>
      <c r="AS14" s="101"/>
      <c r="AT14" s="101"/>
      <c r="AU14" s="102"/>
    </row>
    <row r="15" spans="1:58" ht="72.75" customHeight="1" x14ac:dyDescent="0.25">
      <c r="B15" s="53" t="s">
        <v>3</v>
      </c>
      <c r="C15" s="52" t="s">
        <v>4</v>
      </c>
      <c r="D15" s="52" t="s">
        <v>72</v>
      </c>
      <c r="E15" s="54" t="s">
        <v>71</v>
      </c>
      <c r="F15" s="52" t="s">
        <v>70</v>
      </c>
      <c r="G15" s="78" t="s">
        <v>69</v>
      </c>
      <c r="H15" s="74" t="s">
        <v>181</v>
      </c>
      <c r="I15" s="75" t="s">
        <v>182</v>
      </c>
      <c r="J15" s="76" t="s">
        <v>183</v>
      </c>
      <c r="K15" s="77" t="s">
        <v>184</v>
      </c>
      <c r="L15" s="80" t="s">
        <v>68</v>
      </c>
      <c r="M15" s="10" t="s">
        <v>8</v>
      </c>
      <c r="N15" s="10" t="s">
        <v>9</v>
      </c>
      <c r="O15" s="10" t="s">
        <v>78</v>
      </c>
      <c r="P15" s="52" t="s">
        <v>116</v>
      </c>
      <c r="Q15" s="33" t="s">
        <v>67</v>
      </c>
      <c r="R15" s="10" t="s">
        <v>73</v>
      </c>
      <c r="S15" s="10" t="s">
        <v>74</v>
      </c>
      <c r="T15" s="10" t="s">
        <v>77</v>
      </c>
      <c r="U15" s="54" t="s">
        <v>75</v>
      </c>
      <c r="V15" s="54" t="s">
        <v>76</v>
      </c>
      <c r="W15" s="54" t="s">
        <v>77</v>
      </c>
      <c r="X15" s="33" t="s">
        <v>144</v>
      </c>
      <c r="Y15" s="57" t="s">
        <v>145</v>
      </c>
      <c r="Z15" s="55" t="s">
        <v>153</v>
      </c>
      <c r="AA15" s="55" t="s">
        <v>154</v>
      </c>
      <c r="AB15" s="55" t="s">
        <v>179</v>
      </c>
      <c r="AC15" s="56" t="s">
        <v>79</v>
      </c>
      <c r="AD15" s="61" t="s">
        <v>162</v>
      </c>
      <c r="AE15" s="61" t="s">
        <v>163</v>
      </c>
      <c r="AF15" s="60" t="s">
        <v>162</v>
      </c>
      <c r="AG15" s="61" t="s">
        <v>163</v>
      </c>
      <c r="AH15" s="59" t="s">
        <v>162</v>
      </c>
      <c r="AI15" s="61" t="s">
        <v>163</v>
      </c>
      <c r="AJ15" s="60" t="s">
        <v>162</v>
      </c>
      <c r="AK15" s="61" t="s">
        <v>163</v>
      </c>
      <c r="AL15" s="59" t="s">
        <v>162</v>
      </c>
      <c r="AM15" s="61" t="s">
        <v>164</v>
      </c>
      <c r="AN15" s="88" t="s">
        <v>162</v>
      </c>
      <c r="AO15" s="93" t="s">
        <v>185</v>
      </c>
      <c r="AP15" s="90" t="s">
        <v>186</v>
      </c>
      <c r="AQ15" s="91" t="s">
        <v>187</v>
      </c>
      <c r="AR15" s="90" t="s">
        <v>188</v>
      </c>
      <c r="AS15" s="91" t="s">
        <v>189</v>
      </c>
      <c r="AT15" s="90" t="s">
        <v>190</v>
      </c>
      <c r="AU15" s="94" t="s">
        <v>191</v>
      </c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</row>
    <row r="16" spans="1:58" ht="45" customHeight="1" x14ac:dyDescent="0.2">
      <c r="A16" s="1">
        <v>1</v>
      </c>
      <c r="B16" s="64">
        <v>15</v>
      </c>
      <c r="C16" s="65">
        <v>1</v>
      </c>
      <c r="D16" s="66">
        <v>18</v>
      </c>
      <c r="E16" s="66">
        <v>3</v>
      </c>
      <c r="F16" s="66">
        <v>15</v>
      </c>
      <c r="G16" s="66">
        <v>3</v>
      </c>
      <c r="H16" s="82" t="str">
        <f>IF(OR(F16=0,D16=0),"",IF(F16-D16&gt;0,F16-D16,""))</f>
        <v/>
      </c>
      <c r="I16" s="66" t="str">
        <f>IF(H16="","",INT(5*(F16-D16)))</f>
        <v/>
      </c>
      <c r="J16" s="66"/>
      <c r="K16" s="83"/>
      <c r="L16" s="81">
        <f>F16-G16</f>
        <v>12</v>
      </c>
      <c r="M16" s="67" t="s">
        <v>12</v>
      </c>
      <c r="N16" s="68" t="s">
        <v>17</v>
      </c>
      <c r="O16" s="68" t="s">
        <v>21</v>
      </c>
      <c r="P16" s="69">
        <v>68</v>
      </c>
      <c r="Q16" s="68"/>
      <c r="R16" s="70">
        <v>150</v>
      </c>
      <c r="S16" s="67" t="s">
        <v>37</v>
      </c>
      <c r="T16" s="68">
        <v>1</v>
      </c>
      <c r="U16" s="70">
        <v>150</v>
      </c>
      <c r="V16" s="67" t="s">
        <v>37</v>
      </c>
      <c r="W16" s="68">
        <v>1</v>
      </c>
      <c r="X16" s="68" t="s">
        <v>146</v>
      </c>
      <c r="Y16" s="68" t="s">
        <v>143</v>
      </c>
      <c r="Z16" s="68"/>
      <c r="AA16" s="68"/>
      <c r="AB16" s="71"/>
      <c r="AC16" s="72"/>
      <c r="AD16" s="73"/>
      <c r="AE16" s="73"/>
      <c r="AF16" s="71" t="str">
        <f>IF(AE16="","",IF(AE16&gt;=10,"ok","X"))</f>
        <v/>
      </c>
      <c r="AG16" s="73"/>
      <c r="AH16" s="71" t="str">
        <f>IF(AG16="","",IF(AG16&gt;=3,"ok","X"))</f>
        <v/>
      </c>
      <c r="AI16" s="73"/>
      <c r="AJ16" s="71" t="str">
        <f>IF(AI16="","",IF(AI16&gt;=4,"ok","X"))</f>
        <v/>
      </c>
      <c r="AK16" s="73"/>
      <c r="AL16" s="71" t="str">
        <f>IF(AK16="","",IF(AK16&gt;=5,"ok","X"))</f>
        <v/>
      </c>
      <c r="AM16" s="73"/>
      <c r="AN16" s="92" t="str" cm="1">
        <f t="array" ref="AN16">IF(AM16="","",IF((F16-G16)&gt;=4,IF(AM16&gt;=3,"ok","X"),IF(AM16&gt;=1,IF(AM16&lt;=2,"ok","X"),X)))</f>
        <v/>
      </c>
      <c r="AO16" s="95">
        <v>14</v>
      </c>
      <c r="AP16" s="89" t="s">
        <v>198</v>
      </c>
      <c r="AQ16" s="89">
        <v>8</v>
      </c>
      <c r="AR16" s="89">
        <v>8.3000000000000007</v>
      </c>
      <c r="AS16" s="89"/>
      <c r="AT16" s="89">
        <v>3</v>
      </c>
      <c r="AU16" s="96"/>
    </row>
    <row r="17" spans="1:47" ht="45" customHeight="1" x14ac:dyDescent="0.2">
      <c r="A17" s="1">
        <v>2</v>
      </c>
      <c r="B17" s="64"/>
      <c r="C17" s="65">
        <v>2</v>
      </c>
      <c r="D17" s="66">
        <v>20</v>
      </c>
      <c r="E17" s="66">
        <v>5</v>
      </c>
      <c r="F17" s="66">
        <v>18</v>
      </c>
      <c r="G17" s="66">
        <v>5</v>
      </c>
      <c r="H17" s="82" t="str">
        <f t="shared" ref="H17:H80" si="0">IF(OR(F17=0,D17=0),"",IF(F17-D17&gt;0,F17-D17,""))</f>
        <v/>
      </c>
      <c r="I17" s="66" t="str">
        <f t="shared" ref="I17:I80" si="1">IF(H17="","",INT(5*(F17-D17)))</f>
        <v/>
      </c>
      <c r="J17" s="66"/>
      <c r="K17" s="83"/>
      <c r="L17" s="81">
        <f t="shared" ref="L17:L80" si="2">F17-G17</f>
        <v>13</v>
      </c>
      <c r="M17" s="67" t="s">
        <v>12</v>
      </c>
      <c r="N17" s="68" t="s">
        <v>17</v>
      </c>
      <c r="O17" s="68" t="s">
        <v>21</v>
      </c>
      <c r="P17" s="69">
        <v>72.3</v>
      </c>
      <c r="Q17" s="68"/>
      <c r="R17" s="70">
        <v>150</v>
      </c>
      <c r="S17" s="67" t="s">
        <v>37</v>
      </c>
      <c r="T17" s="68">
        <v>1</v>
      </c>
      <c r="U17" s="70">
        <v>150</v>
      </c>
      <c r="V17" s="67" t="s">
        <v>37</v>
      </c>
      <c r="W17" s="68">
        <v>1</v>
      </c>
      <c r="X17" s="68" t="s">
        <v>146</v>
      </c>
      <c r="Y17" s="68" t="s">
        <v>143</v>
      </c>
      <c r="Z17" s="68"/>
      <c r="AA17" s="68"/>
      <c r="AB17" s="71"/>
      <c r="AC17" s="72"/>
      <c r="AD17" s="73"/>
      <c r="AE17" s="73"/>
      <c r="AF17" s="71" t="str">
        <f t="shared" ref="AF17:AF80" si="3">IF(AE17="","",IF(AE17&gt;=10,"ok","X"))</f>
        <v/>
      </c>
      <c r="AG17" s="73"/>
      <c r="AH17" s="71" t="str">
        <f t="shared" ref="AH17:AH80" si="4">IF(AG17="","",IF(AG17&gt;=3,"ok","X"))</f>
        <v/>
      </c>
      <c r="AI17" s="73"/>
      <c r="AJ17" s="71" t="str">
        <f t="shared" ref="AJ17:AJ80" si="5">IF(AI17="","",IF(AI17&gt;=4,"ok","X"))</f>
        <v/>
      </c>
      <c r="AK17" s="73"/>
      <c r="AL17" s="71" t="str">
        <f t="shared" ref="AL17:AL80" si="6">IF(AK17="","",IF(AK17&gt;=5,"ok","X"))</f>
        <v/>
      </c>
      <c r="AM17" s="73"/>
      <c r="AN17" s="92" t="str" cm="1">
        <f t="array" ref="AN17">IF(AM17="","",IF((F17-G17)&gt;=4,IF(AM17&gt;=3,"ok","X"),IF(AM17&gt;=1,IF(AM17&lt;=2,"ok","X"),X)))</f>
        <v/>
      </c>
      <c r="AO17" s="95">
        <v>17</v>
      </c>
      <c r="AP17" s="89">
        <v>17.5</v>
      </c>
      <c r="AQ17" s="89">
        <v>10</v>
      </c>
      <c r="AR17" s="89">
        <v>10.4</v>
      </c>
      <c r="AS17" s="89"/>
      <c r="AT17" s="89">
        <v>5</v>
      </c>
      <c r="AU17" s="96"/>
    </row>
    <row r="18" spans="1:47" ht="45" customHeight="1" x14ac:dyDescent="0.2">
      <c r="A18" s="1">
        <v>3</v>
      </c>
      <c r="B18" s="64"/>
      <c r="C18" s="65">
        <v>3</v>
      </c>
      <c r="D18" s="66">
        <v>30</v>
      </c>
      <c r="E18" s="66">
        <v>3</v>
      </c>
      <c r="F18" s="66">
        <v>19.5</v>
      </c>
      <c r="G18" s="66">
        <v>3</v>
      </c>
      <c r="H18" s="82" t="str">
        <f t="shared" si="0"/>
        <v/>
      </c>
      <c r="I18" s="66" t="str">
        <f t="shared" si="1"/>
        <v/>
      </c>
      <c r="J18" s="66"/>
      <c r="K18" s="83"/>
      <c r="L18" s="81">
        <f t="shared" si="2"/>
        <v>16.5</v>
      </c>
      <c r="M18" s="67" t="s">
        <v>12</v>
      </c>
      <c r="N18" s="68" t="s">
        <v>17</v>
      </c>
      <c r="O18" s="68" t="s">
        <v>21</v>
      </c>
      <c r="P18" s="69">
        <v>88.4</v>
      </c>
      <c r="Q18" s="68"/>
      <c r="R18" s="70">
        <v>150</v>
      </c>
      <c r="S18" s="67" t="s">
        <v>37</v>
      </c>
      <c r="T18" s="68">
        <v>1</v>
      </c>
      <c r="U18" s="70"/>
      <c r="V18" s="67"/>
      <c r="W18" s="68"/>
      <c r="X18" s="68" t="s">
        <v>146</v>
      </c>
      <c r="Y18" s="68" t="s">
        <v>143</v>
      </c>
      <c r="Z18" s="68"/>
      <c r="AA18" s="68"/>
      <c r="AB18" s="71"/>
      <c r="AC18" s="72"/>
      <c r="AD18" s="73"/>
      <c r="AE18" s="73"/>
      <c r="AF18" s="71" t="str">
        <f t="shared" si="3"/>
        <v/>
      </c>
      <c r="AG18" s="73"/>
      <c r="AH18" s="71" t="str">
        <f t="shared" si="4"/>
        <v/>
      </c>
      <c r="AI18" s="73"/>
      <c r="AJ18" s="71" t="str">
        <f t="shared" si="5"/>
        <v/>
      </c>
      <c r="AK18" s="73"/>
      <c r="AL18" s="71" t="str">
        <f t="shared" si="6"/>
        <v/>
      </c>
      <c r="AM18" s="73"/>
      <c r="AN18" s="92" t="str" cm="1">
        <f t="array" ref="AN18">IF(AM18="","",IF((F18-G18)&gt;=4,IF(AM18&gt;=3,"ok","X"),IF(AM18&gt;=1,IF(AM18&lt;=2,"ok","X"),X)))</f>
        <v/>
      </c>
      <c r="AO18" s="95">
        <v>18.5</v>
      </c>
      <c r="AP18" s="89">
        <v>18.600000000000001</v>
      </c>
      <c r="AQ18" s="89">
        <v>9.5</v>
      </c>
      <c r="AR18" s="89"/>
      <c r="AS18" s="89"/>
      <c r="AT18" s="89">
        <v>3</v>
      </c>
      <c r="AU18" s="96"/>
    </row>
    <row r="19" spans="1:47" ht="45" customHeight="1" x14ac:dyDescent="0.2">
      <c r="A19" s="1">
        <v>4</v>
      </c>
      <c r="B19" s="64"/>
      <c r="C19" s="65">
        <v>4</v>
      </c>
      <c r="D19" s="66">
        <v>30</v>
      </c>
      <c r="E19" s="66">
        <v>2</v>
      </c>
      <c r="F19" s="66">
        <v>29.5</v>
      </c>
      <c r="G19" s="66">
        <v>2</v>
      </c>
      <c r="H19" s="82" t="str">
        <f t="shared" si="0"/>
        <v/>
      </c>
      <c r="I19" s="66" t="str">
        <f t="shared" si="1"/>
        <v/>
      </c>
      <c r="J19" s="66"/>
      <c r="K19" s="83"/>
      <c r="L19" s="81">
        <f t="shared" si="2"/>
        <v>27.5</v>
      </c>
      <c r="M19" s="67" t="s">
        <v>12</v>
      </c>
      <c r="N19" s="68" t="s">
        <v>17</v>
      </c>
      <c r="O19" s="68" t="s">
        <v>21</v>
      </c>
      <c r="P19" s="69">
        <v>150.19999999999999</v>
      </c>
      <c r="Q19" s="68"/>
      <c r="R19" s="70">
        <v>150</v>
      </c>
      <c r="S19" s="67" t="s">
        <v>37</v>
      </c>
      <c r="T19" s="68">
        <v>1</v>
      </c>
      <c r="U19" s="70">
        <v>150</v>
      </c>
      <c r="V19" s="67" t="s">
        <v>37</v>
      </c>
      <c r="W19" s="68">
        <v>2</v>
      </c>
      <c r="X19" s="68" t="s">
        <v>146</v>
      </c>
      <c r="Y19" s="68" t="s">
        <v>143</v>
      </c>
      <c r="Z19" s="68"/>
      <c r="AA19" s="68"/>
      <c r="AB19" s="71"/>
      <c r="AC19" s="72"/>
      <c r="AD19" s="73"/>
      <c r="AE19" s="73"/>
      <c r="AF19" s="71" t="str">
        <f t="shared" si="3"/>
        <v/>
      </c>
      <c r="AG19" s="73"/>
      <c r="AH19" s="71" t="str">
        <f t="shared" si="4"/>
        <v/>
      </c>
      <c r="AI19" s="73"/>
      <c r="AJ19" s="71" t="str">
        <f t="shared" si="5"/>
        <v/>
      </c>
      <c r="AK19" s="73"/>
      <c r="AL19" s="71" t="str">
        <f t="shared" si="6"/>
        <v/>
      </c>
      <c r="AM19" s="73"/>
      <c r="AN19" s="92" t="str" cm="1">
        <f t="array" ref="AN19">IF(AM19="","",IF((F19-G19)&gt;=4,IF(AM19&gt;=3,"ok","X"),IF(AM19&gt;=1,IF(AM19&lt;=2,"ok","X"),X)))</f>
        <v/>
      </c>
      <c r="AO19" s="95">
        <v>28.5</v>
      </c>
      <c r="AP19" s="89">
        <v>28.8</v>
      </c>
      <c r="AQ19" s="89">
        <v>19.5</v>
      </c>
      <c r="AR19" s="89">
        <v>19.7</v>
      </c>
      <c r="AS19" s="89">
        <v>10.3</v>
      </c>
      <c r="AT19" s="89">
        <v>2</v>
      </c>
      <c r="AU19" s="96"/>
    </row>
    <row r="20" spans="1:47" ht="45" customHeight="1" x14ac:dyDescent="0.2">
      <c r="A20" s="1">
        <v>5</v>
      </c>
      <c r="B20" s="64"/>
      <c r="C20" s="65">
        <v>5</v>
      </c>
      <c r="D20" s="66">
        <v>30</v>
      </c>
      <c r="E20" s="66">
        <v>3</v>
      </c>
      <c r="F20" s="66">
        <v>30.1</v>
      </c>
      <c r="G20" s="66">
        <v>3</v>
      </c>
      <c r="H20" s="82"/>
      <c r="I20" s="66"/>
      <c r="J20" s="66"/>
      <c r="K20" s="83"/>
      <c r="L20" s="81">
        <f t="shared" si="2"/>
        <v>27.1</v>
      </c>
      <c r="M20" s="67" t="s">
        <v>12</v>
      </c>
      <c r="N20" s="68" t="s">
        <v>17</v>
      </c>
      <c r="O20" s="68" t="s">
        <v>21</v>
      </c>
      <c r="P20" s="69">
        <v>140</v>
      </c>
      <c r="Q20" s="68"/>
      <c r="R20" s="70">
        <v>150</v>
      </c>
      <c r="S20" s="67" t="s">
        <v>37</v>
      </c>
      <c r="T20" s="68">
        <v>1</v>
      </c>
      <c r="U20" s="70">
        <v>150</v>
      </c>
      <c r="V20" s="67" t="s">
        <v>37</v>
      </c>
      <c r="W20" s="68">
        <v>2</v>
      </c>
      <c r="X20" s="68" t="s">
        <v>146</v>
      </c>
      <c r="Y20" s="68" t="s">
        <v>143</v>
      </c>
      <c r="Z20" s="68"/>
      <c r="AA20" s="68"/>
      <c r="AB20" s="71"/>
      <c r="AC20" s="72"/>
      <c r="AD20" s="73"/>
      <c r="AE20" s="73"/>
      <c r="AF20" s="71" t="str">
        <f t="shared" si="3"/>
        <v/>
      </c>
      <c r="AG20" s="73"/>
      <c r="AH20" s="71" t="str">
        <f t="shared" si="4"/>
        <v/>
      </c>
      <c r="AI20" s="73"/>
      <c r="AJ20" s="71" t="str">
        <f t="shared" si="5"/>
        <v/>
      </c>
      <c r="AK20" s="73"/>
      <c r="AL20" s="71" t="str">
        <f t="shared" si="6"/>
        <v/>
      </c>
      <c r="AM20" s="73"/>
      <c r="AN20" s="92" t="str" cm="1">
        <f t="array" ref="AN20">IF(AM20="","",IF((F20-G20)&gt;=4,IF(AM20&gt;=3,"ok","X"),IF(AM20&gt;=1,IF(AM20&lt;=2,"ok","X"),X)))</f>
        <v/>
      </c>
      <c r="AO20" s="95">
        <v>29</v>
      </c>
      <c r="AP20" s="89">
        <v>29.2</v>
      </c>
      <c r="AQ20" s="89">
        <v>20</v>
      </c>
      <c r="AR20" s="89">
        <v>20.2</v>
      </c>
      <c r="AS20" s="89">
        <v>11.1</v>
      </c>
      <c r="AT20" s="89">
        <v>3</v>
      </c>
      <c r="AU20" s="96"/>
    </row>
    <row r="21" spans="1:47" ht="45" customHeight="1" x14ac:dyDescent="0.2">
      <c r="A21" s="1">
        <v>6</v>
      </c>
      <c r="B21" s="64"/>
      <c r="C21" s="65">
        <v>6</v>
      </c>
      <c r="D21" s="66">
        <v>25</v>
      </c>
      <c r="E21" s="66">
        <v>3</v>
      </c>
      <c r="F21" s="66">
        <v>24.1</v>
      </c>
      <c r="G21" s="66">
        <v>3</v>
      </c>
      <c r="H21" s="82" t="str">
        <f t="shared" si="0"/>
        <v/>
      </c>
      <c r="I21" s="66" t="str">
        <f t="shared" si="1"/>
        <v/>
      </c>
      <c r="J21" s="66"/>
      <c r="K21" s="83"/>
      <c r="L21" s="81">
        <f t="shared" si="2"/>
        <v>21.1</v>
      </c>
      <c r="M21" s="67" t="s">
        <v>12</v>
      </c>
      <c r="N21" s="68" t="s">
        <v>17</v>
      </c>
      <c r="O21" s="68" t="s">
        <v>21</v>
      </c>
      <c r="P21" s="69" t="s">
        <v>200</v>
      </c>
      <c r="Q21" s="68"/>
      <c r="R21" s="70">
        <v>150</v>
      </c>
      <c r="S21" s="67" t="s">
        <v>37</v>
      </c>
      <c r="T21" s="68">
        <v>1</v>
      </c>
      <c r="U21" s="70">
        <v>150</v>
      </c>
      <c r="V21" s="67" t="s">
        <v>37</v>
      </c>
      <c r="W21" s="68">
        <v>2</v>
      </c>
      <c r="X21" s="68" t="s">
        <v>146</v>
      </c>
      <c r="Y21" s="68" t="s">
        <v>143</v>
      </c>
      <c r="Z21" s="68"/>
      <c r="AA21" s="68"/>
      <c r="AB21" s="71"/>
      <c r="AC21" s="72"/>
      <c r="AD21" s="73"/>
      <c r="AE21" s="73"/>
      <c r="AF21" s="71" t="str">
        <f t="shared" si="3"/>
        <v/>
      </c>
      <c r="AG21" s="73"/>
      <c r="AH21" s="71" t="str">
        <f t="shared" si="4"/>
        <v/>
      </c>
      <c r="AI21" s="73"/>
      <c r="AJ21" s="71" t="str">
        <f t="shared" si="5"/>
        <v/>
      </c>
      <c r="AK21" s="73"/>
      <c r="AL21" s="71" t="str">
        <f t="shared" si="6"/>
        <v/>
      </c>
      <c r="AM21" s="73"/>
      <c r="AN21" s="92" t="str" cm="1">
        <f t="array" ref="AN21">IF(AM21="","",IF((F21-G21)&gt;=4,IF(AM21&gt;=3,"ok","X"),IF(AM21&gt;=1,IF(AM21&lt;=2,"ok","X"),X)))</f>
        <v/>
      </c>
      <c r="AO21" s="95">
        <v>23</v>
      </c>
      <c r="AP21" s="89">
        <v>22.1</v>
      </c>
      <c r="AQ21" s="89">
        <v>15</v>
      </c>
      <c r="AR21" s="89" t="s">
        <v>202</v>
      </c>
      <c r="AS21" s="89" t="s">
        <v>203</v>
      </c>
      <c r="AT21" s="89">
        <v>3</v>
      </c>
      <c r="AU21" s="96"/>
    </row>
    <row r="22" spans="1:47" ht="45" customHeight="1" x14ac:dyDescent="0.2">
      <c r="A22" s="1">
        <v>7</v>
      </c>
      <c r="B22" s="64"/>
      <c r="C22" s="65">
        <v>7</v>
      </c>
      <c r="D22" s="66">
        <v>30</v>
      </c>
      <c r="E22" s="66">
        <v>3</v>
      </c>
      <c r="F22" s="66">
        <v>20</v>
      </c>
      <c r="G22" s="79">
        <v>3</v>
      </c>
      <c r="H22" s="82" t="str">
        <f t="shared" si="0"/>
        <v/>
      </c>
      <c r="I22" s="66" t="str">
        <f t="shared" si="1"/>
        <v/>
      </c>
      <c r="J22" s="66"/>
      <c r="K22" s="83"/>
      <c r="L22" s="81">
        <f t="shared" si="2"/>
        <v>17</v>
      </c>
      <c r="M22" s="67" t="s">
        <v>12</v>
      </c>
      <c r="N22" s="68" t="s">
        <v>17</v>
      </c>
      <c r="O22" s="68" t="s">
        <v>21</v>
      </c>
      <c r="P22" s="69" t="s">
        <v>201</v>
      </c>
      <c r="Q22" s="68"/>
      <c r="R22" s="70">
        <v>150</v>
      </c>
      <c r="S22" s="67" t="s">
        <v>37</v>
      </c>
      <c r="T22" s="68">
        <v>1</v>
      </c>
      <c r="U22" s="70">
        <v>150</v>
      </c>
      <c r="V22" s="67" t="s">
        <v>37</v>
      </c>
      <c r="W22" s="68">
        <v>1</v>
      </c>
      <c r="X22" s="68" t="s">
        <v>146</v>
      </c>
      <c r="Y22" s="68" t="s">
        <v>143</v>
      </c>
      <c r="Z22" s="68"/>
      <c r="AA22" s="68"/>
      <c r="AB22" s="71"/>
      <c r="AC22" s="72"/>
      <c r="AD22" s="73"/>
      <c r="AE22" s="73"/>
      <c r="AF22" s="71" t="str">
        <f t="shared" si="3"/>
        <v/>
      </c>
      <c r="AG22" s="73"/>
      <c r="AH22" s="71" t="str">
        <f t="shared" si="4"/>
        <v/>
      </c>
      <c r="AI22" s="73"/>
      <c r="AJ22" s="71" t="str">
        <f t="shared" si="5"/>
        <v/>
      </c>
      <c r="AK22" s="73"/>
      <c r="AL22" s="71" t="str">
        <f t="shared" si="6"/>
        <v/>
      </c>
      <c r="AM22" s="73"/>
      <c r="AN22" s="92" t="str" cm="1">
        <f t="array" ref="AN22">IF(AM22="","",IF((F22-G22)&gt;=4,IF(AM22&gt;=3,"ok","X"),IF(AM22&gt;=1,IF(AM22&lt;=2,"ok","X"),X)))</f>
        <v/>
      </c>
      <c r="AO22" s="95">
        <v>19</v>
      </c>
      <c r="AP22" s="89" t="s">
        <v>204</v>
      </c>
      <c r="AQ22" s="89">
        <v>12</v>
      </c>
      <c r="AR22" s="89" t="s">
        <v>205</v>
      </c>
      <c r="AS22" s="89"/>
      <c r="AT22" s="89">
        <v>3</v>
      </c>
      <c r="AU22" s="96"/>
    </row>
    <row r="23" spans="1:47" ht="45" customHeight="1" x14ac:dyDescent="0.2">
      <c r="A23" s="1">
        <v>8</v>
      </c>
      <c r="B23" s="64"/>
      <c r="C23" s="65">
        <v>8</v>
      </c>
      <c r="D23" s="66">
        <v>17</v>
      </c>
      <c r="E23" s="66">
        <v>2</v>
      </c>
      <c r="F23" s="66"/>
      <c r="G23" s="79"/>
      <c r="H23" s="82" t="str">
        <f t="shared" si="0"/>
        <v/>
      </c>
      <c r="I23" s="66" t="str">
        <f t="shared" si="1"/>
        <v/>
      </c>
      <c r="J23" s="66"/>
      <c r="K23" s="83"/>
      <c r="L23" s="81">
        <f t="shared" si="2"/>
        <v>0</v>
      </c>
      <c r="M23" s="67"/>
      <c r="N23" s="68"/>
      <c r="O23" s="68"/>
      <c r="P23" s="69"/>
      <c r="Q23" s="68"/>
      <c r="R23" s="70"/>
      <c r="S23" s="67"/>
      <c r="T23" s="68"/>
      <c r="U23" s="70"/>
      <c r="V23" s="67"/>
      <c r="W23" s="68"/>
      <c r="X23" s="68"/>
      <c r="Y23" s="68"/>
      <c r="Z23" s="68"/>
      <c r="AA23" s="68"/>
      <c r="AB23" s="71"/>
      <c r="AC23" s="72"/>
      <c r="AD23" s="73"/>
      <c r="AE23" s="73"/>
      <c r="AF23" s="71" t="str">
        <f t="shared" si="3"/>
        <v/>
      </c>
      <c r="AG23" s="73"/>
      <c r="AH23" s="71" t="str">
        <f t="shared" si="4"/>
        <v/>
      </c>
      <c r="AI23" s="73"/>
      <c r="AJ23" s="71" t="str">
        <f t="shared" si="5"/>
        <v/>
      </c>
      <c r="AK23" s="73"/>
      <c r="AL23" s="71" t="str">
        <f t="shared" si="6"/>
        <v/>
      </c>
      <c r="AM23" s="73"/>
      <c r="AN23" s="92" t="str" cm="1">
        <f t="array" ref="AN23">IF(AM23="","",IF((F23-G23)&gt;=4,IF(AM23&gt;=3,"ok","X"),IF(AM23&gt;=1,IF(AM23&lt;=2,"ok","X"),X)))</f>
        <v/>
      </c>
      <c r="AO23" s="95"/>
      <c r="AP23" s="89"/>
      <c r="AQ23" s="89"/>
      <c r="AR23" s="89"/>
      <c r="AS23" s="89"/>
      <c r="AT23" s="89"/>
      <c r="AU23" s="96"/>
    </row>
    <row r="24" spans="1:47" ht="45" customHeight="1" x14ac:dyDescent="0.2">
      <c r="A24" s="1">
        <v>9</v>
      </c>
      <c r="B24" s="64"/>
      <c r="C24" s="65">
        <v>9</v>
      </c>
      <c r="D24" s="66">
        <v>16</v>
      </c>
      <c r="E24" s="66">
        <v>3</v>
      </c>
      <c r="F24" s="66"/>
      <c r="G24" s="79"/>
      <c r="H24" s="82" t="str">
        <f t="shared" si="0"/>
        <v/>
      </c>
      <c r="I24" s="66" t="str">
        <f t="shared" si="1"/>
        <v/>
      </c>
      <c r="J24" s="66"/>
      <c r="K24" s="83"/>
      <c r="L24" s="81">
        <f t="shared" si="2"/>
        <v>0</v>
      </c>
      <c r="M24" s="67"/>
      <c r="N24" s="68"/>
      <c r="O24" s="68"/>
      <c r="P24" s="69"/>
      <c r="Q24" s="68"/>
      <c r="R24" s="70"/>
      <c r="S24" s="67"/>
      <c r="T24" s="68"/>
      <c r="U24" s="70"/>
      <c r="V24" s="67"/>
      <c r="W24" s="68"/>
      <c r="X24" s="68"/>
      <c r="Y24" s="68"/>
      <c r="Z24" s="68"/>
      <c r="AA24" s="68"/>
      <c r="AB24" s="71"/>
      <c r="AC24" s="72"/>
      <c r="AD24" s="73"/>
      <c r="AE24" s="73"/>
      <c r="AF24" s="71" t="str">
        <f t="shared" si="3"/>
        <v/>
      </c>
      <c r="AG24" s="73"/>
      <c r="AH24" s="71" t="str">
        <f t="shared" si="4"/>
        <v/>
      </c>
      <c r="AI24" s="73"/>
      <c r="AJ24" s="71" t="str">
        <f t="shared" si="5"/>
        <v/>
      </c>
      <c r="AK24" s="73"/>
      <c r="AL24" s="71" t="str">
        <f t="shared" si="6"/>
        <v/>
      </c>
      <c r="AM24" s="73"/>
      <c r="AN24" s="92" t="str" cm="1">
        <f t="array" ref="AN24">IF(AM24="","",IF((F24-G24)&gt;=4,IF(AM24&gt;=3,"ok","X"),IF(AM24&gt;=1,IF(AM24&lt;=2,"ok","X"),X)))</f>
        <v/>
      </c>
      <c r="AO24" s="95"/>
      <c r="AP24" s="89"/>
      <c r="AQ24" s="89"/>
      <c r="AR24" s="89"/>
      <c r="AS24" s="89"/>
      <c r="AT24" s="89"/>
      <c r="AU24" s="96"/>
    </row>
    <row r="25" spans="1:47" ht="45" customHeight="1" x14ac:dyDescent="0.2">
      <c r="A25" s="1">
        <v>10</v>
      </c>
      <c r="B25" s="64"/>
      <c r="C25" s="65">
        <v>10</v>
      </c>
      <c r="D25" s="66">
        <v>17.5</v>
      </c>
      <c r="E25" s="66">
        <v>5</v>
      </c>
      <c r="F25" s="66"/>
      <c r="G25" s="79"/>
      <c r="H25" s="82" t="str">
        <f t="shared" si="0"/>
        <v/>
      </c>
      <c r="I25" s="66" t="str">
        <f t="shared" si="1"/>
        <v/>
      </c>
      <c r="J25" s="66"/>
      <c r="K25" s="83"/>
      <c r="L25" s="81">
        <f t="shared" si="2"/>
        <v>0</v>
      </c>
      <c r="M25" s="67"/>
      <c r="N25" s="68"/>
      <c r="O25" s="68"/>
      <c r="P25" s="69"/>
      <c r="Q25" s="68"/>
      <c r="R25" s="70"/>
      <c r="S25" s="67"/>
      <c r="T25" s="68"/>
      <c r="U25" s="70"/>
      <c r="V25" s="67"/>
      <c r="W25" s="68"/>
      <c r="X25" s="68"/>
      <c r="Y25" s="68"/>
      <c r="Z25" s="68"/>
      <c r="AA25" s="68"/>
      <c r="AB25" s="71"/>
      <c r="AC25" s="72"/>
      <c r="AD25" s="73"/>
      <c r="AE25" s="73"/>
      <c r="AF25" s="71" t="str">
        <f t="shared" si="3"/>
        <v/>
      </c>
      <c r="AG25" s="73"/>
      <c r="AH25" s="71" t="str">
        <f t="shared" si="4"/>
        <v/>
      </c>
      <c r="AI25" s="73"/>
      <c r="AJ25" s="71" t="str">
        <f t="shared" si="5"/>
        <v/>
      </c>
      <c r="AK25" s="73"/>
      <c r="AL25" s="71" t="str">
        <f t="shared" si="6"/>
        <v/>
      </c>
      <c r="AM25" s="73"/>
      <c r="AN25" s="92" t="str" cm="1">
        <f t="array" ref="AN25">IF(AM25="","",IF((F25-G25)&gt;=4,IF(AM25&gt;=3,"ok","X"),IF(AM25&gt;=1,IF(AM25&lt;=2,"ok","X"),X)))</f>
        <v/>
      </c>
      <c r="AO25" s="95"/>
      <c r="AP25" s="89"/>
      <c r="AQ25" s="89"/>
      <c r="AR25" s="89"/>
      <c r="AS25" s="89"/>
      <c r="AT25" s="89"/>
      <c r="AU25" s="96"/>
    </row>
    <row r="26" spans="1:47" ht="45" customHeight="1" x14ac:dyDescent="0.2">
      <c r="A26" s="1">
        <v>11</v>
      </c>
      <c r="B26" s="64"/>
      <c r="C26" s="65">
        <v>11</v>
      </c>
      <c r="D26" s="66">
        <v>15</v>
      </c>
      <c r="E26" s="66">
        <v>3</v>
      </c>
      <c r="F26" s="66"/>
      <c r="G26" s="79"/>
      <c r="H26" s="82" t="str">
        <f t="shared" si="0"/>
        <v/>
      </c>
      <c r="I26" s="66" t="str">
        <f t="shared" si="1"/>
        <v/>
      </c>
      <c r="J26" s="66"/>
      <c r="K26" s="83"/>
      <c r="L26" s="81">
        <f t="shared" si="2"/>
        <v>0</v>
      </c>
      <c r="M26" s="67"/>
      <c r="N26" s="68"/>
      <c r="O26" s="68"/>
      <c r="P26" s="69"/>
      <c r="Q26" s="68"/>
      <c r="R26" s="70"/>
      <c r="S26" s="67"/>
      <c r="T26" s="68"/>
      <c r="U26" s="70"/>
      <c r="V26" s="67"/>
      <c r="W26" s="68"/>
      <c r="X26" s="68"/>
      <c r="Y26" s="68"/>
      <c r="Z26" s="68"/>
      <c r="AA26" s="68"/>
      <c r="AB26" s="71"/>
      <c r="AC26" s="72"/>
      <c r="AD26" s="73"/>
      <c r="AE26" s="73"/>
      <c r="AF26" s="71" t="str">
        <f t="shared" si="3"/>
        <v/>
      </c>
      <c r="AG26" s="73"/>
      <c r="AH26" s="71" t="str">
        <f t="shared" si="4"/>
        <v/>
      </c>
      <c r="AI26" s="73"/>
      <c r="AJ26" s="71" t="str">
        <f t="shared" si="5"/>
        <v/>
      </c>
      <c r="AK26" s="73"/>
      <c r="AL26" s="71" t="str">
        <f t="shared" si="6"/>
        <v/>
      </c>
      <c r="AM26" s="73"/>
      <c r="AN26" s="92" t="str" cm="1">
        <f t="array" ref="AN26">IF(AM26="","",IF((F26-G26)&gt;=4,IF(AM26&gt;=3,"ok","X"),IF(AM26&gt;=1,IF(AM26&lt;=2,"ok","X"),X)))</f>
        <v/>
      </c>
      <c r="AO26" s="95"/>
      <c r="AP26" s="89"/>
      <c r="AQ26" s="89"/>
      <c r="AR26" s="89"/>
      <c r="AS26" s="89"/>
      <c r="AT26" s="89"/>
      <c r="AU26" s="96"/>
    </row>
    <row r="27" spans="1:47" ht="45" customHeight="1" x14ac:dyDescent="0.2">
      <c r="A27" s="1">
        <v>12</v>
      </c>
      <c r="B27" s="64">
        <v>16</v>
      </c>
      <c r="C27" s="65">
        <v>1</v>
      </c>
      <c r="D27" s="66">
        <v>18</v>
      </c>
      <c r="E27" s="66">
        <v>1</v>
      </c>
      <c r="F27" s="66">
        <v>14.4</v>
      </c>
      <c r="G27" s="79">
        <v>1</v>
      </c>
      <c r="H27" s="82" t="str">
        <f t="shared" si="0"/>
        <v/>
      </c>
      <c r="I27" s="66" t="str">
        <f t="shared" si="1"/>
        <v/>
      </c>
      <c r="J27" s="66"/>
      <c r="K27" s="83"/>
      <c r="L27" s="81">
        <f t="shared" si="2"/>
        <v>13.4</v>
      </c>
      <c r="M27" s="67" t="s">
        <v>12</v>
      </c>
      <c r="N27" s="68" t="s">
        <v>17</v>
      </c>
      <c r="O27" s="68" t="s">
        <v>21</v>
      </c>
      <c r="P27" s="69">
        <v>75.2</v>
      </c>
      <c r="Q27" s="68"/>
      <c r="R27" s="70">
        <v>150</v>
      </c>
      <c r="S27" s="67" t="s">
        <v>37</v>
      </c>
      <c r="T27" s="68">
        <v>1</v>
      </c>
      <c r="U27" s="70">
        <v>150</v>
      </c>
      <c r="V27" s="67" t="s">
        <v>37</v>
      </c>
      <c r="W27" s="68">
        <v>1</v>
      </c>
      <c r="X27" s="68" t="s">
        <v>146</v>
      </c>
      <c r="Y27" s="68" t="s">
        <v>143</v>
      </c>
      <c r="Z27" s="68"/>
      <c r="AA27" s="68"/>
      <c r="AB27" s="71"/>
      <c r="AC27" s="72"/>
      <c r="AD27" s="73"/>
      <c r="AE27" s="73"/>
      <c r="AF27" s="71" t="str">
        <f t="shared" si="3"/>
        <v/>
      </c>
      <c r="AG27" s="73"/>
      <c r="AH27" s="71" t="str">
        <f t="shared" si="4"/>
        <v/>
      </c>
      <c r="AI27" s="73"/>
      <c r="AJ27" s="71" t="str">
        <f t="shared" si="5"/>
        <v/>
      </c>
      <c r="AK27" s="73"/>
      <c r="AL27" s="71" t="str">
        <f t="shared" si="6"/>
        <v/>
      </c>
      <c r="AM27" s="73"/>
      <c r="AN27" s="92" t="str" cm="1">
        <f t="array" ref="AN27">IF(AM27="","",IF((F27-G27)&gt;=4,IF(AM27&gt;=3,"ok","X"),IF(AM27&gt;=1,IF(AM27&lt;=2,"ok","X"),X)))</f>
        <v/>
      </c>
      <c r="AO27" s="95" t="s">
        <v>206</v>
      </c>
      <c r="AP27" s="89" t="s">
        <v>207</v>
      </c>
      <c r="AQ27" s="89">
        <v>7</v>
      </c>
      <c r="AR27" s="89" t="s">
        <v>208</v>
      </c>
      <c r="AS27" s="89"/>
      <c r="AT27" s="89">
        <v>1</v>
      </c>
      <c r="AU27" s="96"/>
    </row>
    <row r="28" spans="1:47" ht="45" customHeight="1" x14ac:dyDescent="0.2">
      <c r="A28" s="1">
        <v>13</v>
      </c>
      <c r="B28" s="64"/>
      <c r="C28" s="65">
        <v>2</v>
      </c>
      <c r="D28" s="66">
        <v>22</v>
      </c>
      <c r="E28" s="66">
        <v>5</v>
      </c>
      <c r="F28" s="66"/>
      <c r="G28" s="79"/>
      <c r="H28" s="82" t="str">
        <f t="shared" si="0"/>
        <v/>
      </c>
      <c r="I28" s="66" t="str">
        <f t="shared" si="1"/>
        <v/>
      </c>
      <c r="J28" s="66"/>
      <c r="K28" s="83"/>
      <c r="L28" s="81">
        <f t="shared" si="2"/>
        <v>0</v>
      </c>
      <c r="M28" s="67"/>
      <c r="N28" s="68"/>
      <c r="O28" s="68"/>
      <c r="P28" s="69"/>
      <c r="Q28" s="68"/>
      <c r="R28" s="70"/>
      <c r="S28" s="67"/>
      <c r="T28" s="68"/>
      <c r="U28" s="70"/>
      <c r="V28" s="67"/>
      <c r="W28" s="68"/>
      <c r="X28" s="68"/>
      <c r="Y28" s="68"/>
      <c r="Z28" s="68"/>
      <c r="AA28" s="68"/>
      <c r="AB28" s="71"/>
      <c r="AC28" s="72"/>
      <c r="AD28" s="73"/>
      <c r="AE28" s="73"/>
      <c r="AF28" s="71" t="str">
        <f t="shared" si="3"/>
        <v/>
      </c>
      <c r="AG28" s="73"/>
      <c r="AH28" s="71" t="str">
        <f t="shared" si="4"/>
        <v/>
      </c>
      <c r="AI28" s="73"/>
      <c r="AJ28" s="71" t="str">
        <f t="shared" si="5"/>
        <v/>
      </c>
      <c r="AK28" s="73"/>
      <c r="AL28" s="71" t="str">
        <f t="shared" si="6"/>
        <v/>
      </c>
      <c r="AM28" s="73"/>
      <c r="AN28" s="92" t="str" cm="1">
        <f t="array" ref="AN28">IF(AM28="","",IF((F28-G28)&gt;=4,IF(AM28&gt;=3,"ok","X"),IF(AM28&gt;=1,IF(AM28&lt;=2,"ok","X"),X)))</f>
        <v/>
      </c>
      <c r="AO28" s="95"/>
      <c r="AP28" s="89"/>
      <c r="AQ28" s="89"/>
      <c r="AR28" s="89"/>
      <c r="AS28" s="89"/>
      <c r="AT28" s="89"/>
      <c r="AU28" s="96"/>
    </row>
    <row r="29" spans="1:47" ht="45" customHeight="1" x14ac:dyDescent="0.2">
      <c r="A29" s="1">
        <v>14</v>
      </c>
      <c r="B29" s="64"/>
      <c r="C29" s="65">
        <v>3</v>
      </c>
      <c r="D29" s="66">
        <v>30</v>
      </c>
      <c r="E29" s="66">
        <v>2</v>
      </c>
      <c r="F29" s="66"/>
      <c r="G29" s="79"/>
      <c r="H29" s="82" t="str">
        <f t="shared" si="0"/>
        <v/>
      </c>
      <c r="I29" s="66" t="str">
        <f t="shared" si="1"/>
        <v/>
      </c>
      <c r="J29" s="66"/>
      <c r="K29" s="83"/>
      <c r="L29" s="81">
        <f t="shared" si="2"/>
        <v>0</v>
      </c>
      <c r="M29" s="67"/>
      <c r="N29" s="68"/>
      <c r="O29" s="68"/>
      <c r="P29" s="69"/>
      <c r="Q29" s="68"/>
      <c r="R29" s="70"/>
      <c r="S29" s="67"/>
      <c r="T29" s="68"/>
      <c r="U29" s="70"/>
      <c r="V29" s="67"/>
      <c r="W29" s="68"/>
      <c r="X29" s="68"/>
      <c r="Y29" s="68"/>
      <c r="Z29" s="68"/>
      <c r="AA29" s="68"/>
      <c r="AB29" s="71"/>
      <c r="AC29" s="72"/>
      <c r="AD29" s="73"/>
      <c r="AE29" s="73"/>
      <c r="AF29" s="71" t="str">
        <f t="shared" si="3"/>
        <v/>
      </c>
      <c r="AG29" s="73"/>
      <c r="AH29" s="71" t="str">
        <f t="shared" si="4"/>
        <v/>
      </c>
      <c r="AI29" s="73"/>
      <c r="AJ29" s="71" t="str">
        <f t="shared" si="5"/>
        <v/>
      </c>
      <c r="AK29" s="73"/>
      <c r="AL29" s="71" t="str">
        <f t="shared" si="6"/>
        <v/>
      </c>
      <c r="AM29" s="73"/>
      <c r="AN29" s="92" t="str" cm="1">
        <f t="array" ref="AN29">IF(AM29="","",IF((F29-G29)&gt;=4,IF(AM29&gt;=3,"ok","X"),IF(AM29&gt;=1,IF(AM29&lt;=2,"ok","X"),X)))</f>
        <v/>
      </c>
      <c r="AO29" s="95"/>
      <c r="AP29" s="89"/>
      <c r="AQ29" s="89"/>
      <c r="AR29" s="89"/>
      <c r="AS29" s="89"/>
      <c r="AT29" s="89"/>
      <c r="AU29" s="96"/>
    </row>
    <row r="30" spans="1:47" ht="45" customHeight="1" x14ac:dyDescent="0.2">
      <c r="A30" s="1">
        <v>15</v>
      </c>
      <c r="B30" s="64"/>
      <c r="C30" s="65">
        <v>4</v>
      </c>
      <c r="D30" s="66">
        <v>30</v>
      </c>
      <c r="E30" s="66">
        <v>1</v>
      </c>
      <c r="F30" s="66"/>
      <c r="G30" s="79"/>
      <c r="H30" s="82" t="str">
        <f t="shared" si="0"/>
        <v/>
      </c>
      <c r="I30" s="66" t="str">
        <f t="shared" si="1"/>
        <v/>
      </c>
      <c r="J30" s="66"/>
      <c r="K30" s="83"/>
      <c r="L30" s="81">
        <f t="shared" si="2"/>
        <v>0</v>
      </c>
      <c r="M30" s="67"/>
      <c r="N30" s="68"/>
      <c r="O30" s="68"/>
      <c r="P30" s="69"/>
      <c r="Q30" s="68"/>
      <c r="R30" s="70"/>
      <c r="S30" s="67"/>
      <c r="T30" s="68"/>
      <c r="U30" s="70"/>
      <c r="V30" s="67"/>
      <c r="W30" s="68"/>
      <c r="X30" s="68"/>
      <c r="Y30" s="68"/>
      <c r="Z30" s="68"/>
      <c r="AA30" s="68"/>
      <c r="AB30" s="71"/>
      <c r="AC30" s="72"/>
      <c r="AD30" s="73"/>
      <c r="AE30" s="73"/>
      <c r="AF30" s="71" t="str">
        <f t="shared" si="3"/>
        <v/>
      </c>
      <c r="AG30" s="73"/>
      <c r="AH30" s="71" t="str">
        <f t="shared" si="4"/>
        <v/>
      </c>
      <c r="AI30" s="73"/>
      <c r="AJ30" s="71" t="str">
        <f t="shared" si="5"/>
        <v/>
      </c>
      <c r="AK30" s="73"/>
      <c r="AL30" s="71" t="str">
        <f t="shared" si="6"/>
        <v/>
      </c>
      <c r="AM30" s="73"/>
      <c r="AN30" s="92" t="str" cm="1">
        <f t="array" ref="AN30">IF(AM30="","",IF((F30-G30)&gt;=4,IF(AM30&gt;=3,"ok","X"),IF(AM30&gt;=1,IF(AM30&lt;=2,"ok","X"),X)))</f>
        <v/>
      </c>
      <c r="AO30" s="95"/>
      <c r="AP30" s="89"/>
      <c r="AQ30" s="89"/>
      <c r="AR30" s="89"/>
      <c r="AS30" s="89"/>
      <c r="AT30" s="89"/>
      <c r="AU30" s="96"/>
    </row>
    <row r="31" spans="1:47" ht="45" customHeight="1" x14ac:dyDescent="0.2">
      <c r="A31" s="1">
        <v>16</v>
      </c>
      <c r="B31" s="64"/>
      <c r="C31" s="65">
        <v>5</v>
      </c>
      <c r="D31" s="66">
        <v>30</v>
      </c>
      <c r="E31" s="66">
        <v>2</v>
      </c>
      <c r="F31" s="66"/>
      <c r="G31" s="79"/>
      <c r="H31" s="82" t="str">
        <f t="shared" si="0"/>
        <v/>
      </c>
      <c r="I31" s="66" t="str">
        <f t="shared" si="1"/>
        <v/>
      </c>
      <c r="J31" s="66"/>
      <c r="K31" s="83"/>
      <c r="L31" s="81">
        <f t="shared" si="2"/>
        <v>0</v>
      </c>
      <c r="M31" s="67"/>
      <c r="N31" s="68"/>
      <c r="O31" s="68"/>
      <c r="P31" s="69"/>
      <c r="Q31" s="68"/>
      <c r="R31" s="70"/>
      <c r="S31" s="67"/>
      <c r="T31" s="68"/>
      <c r="U31" s="70"/>
      <c r="V31" s="67"/>
      <c r="W31" s="68"/>
      <c r="X31" s="68"/>
      <c r="Y31" s="68"/>
      <c r="Z31" s="68"/>
      <c r="AA31" s="68"/>
      <c r="AB31" s="71"/>
      <c r="AC31" s="72"/>
      <c r="AD31" s="73"/>
      <c r="AE31" s="73"/>
      <c r="AF31" s="71" t="str">
        <f t="shared" si="3"/>
        <v/>
      </c>
      <c r="AG31" s="73"/>
      <c r="AH31" s="71" t="str">
        <f t="shared" si="4"/>
        <v/>
      </c>
      <c r="AI31" s="73"/>
      <c r="AJ31" s="71" t="str">
        <f t="shared" si="5"/>
        <v/>
      </c>
      <c r="AK31" s="73"/>
      <c r="AL31" s="71" t="str">
        <f t="shared" si="6"/>
        <v/>
      </c>
      <c r="AM31" s="73"/>
      <c r="AN31" s="92" t="str" cm="1">
        <f t="array" ref="AN31">IF(AM31="","",IF((F31-G31)&gt;=4,IF(AM31&gt;=3,"ok","X"),IF(AM31&gt;=1,IF(AM31&lt;=2,"ok","X"),X)))</f>
        <v/>
      </c>
      <c r="AO31" s="95"/>
      <c r="AP31" s="89"/>
      <c r="AQ31" s="89"/>
      <c r="AR31" s="89"/>
      <c r="AS31" s="89"/>
      <c r="AT31" s="89"/>
      <c r="AU31" s="96"/>
    </row>
    <row r="32" spans="1:47" ht="45" customHeight="1" x14ac:dyDescent="0.2">
      <c r="A32" s="1">
        <v>17</v>
      </c>
      <c r="B32" s="64"/>
      <c r="C32" s="65">
        <v>6</v>
      </c>
      <c r="D32" s="66">
        <v>24</v>
      </c>
      <c r="E32" s="66">
        <v>1</v>
      </c>
      <c r="F32" s="66"/>
      <c r="G32" s="79"/>
      <c r="H32" s="82" t="str">
        <f t="shared" si="0"/>
        <v/>
      </c>
      <c r="I32" s="66" t="str">
        <f t="shared" si="1"/>
        <v/>
      </c>
      <c r="J32" s="66"/>
      <c r="K32" s="83"/>
      <c r="L32" s="81">
        <f t="shared" si="2"/>
        <v>0</v>
      </c>
      <c r="M32" s="67"/>
      <c r="N32" s="68"/>
      <c r="O32" s="68"/>
      <c r="P32" s="69"/>
      <c r="Q32" s="68"/>
      <c r="R32" s="70"/>
      <c r="S32" s="67"/>
      <c r="T32" s="68"/>
      <c r="U32" s="70"/>
      <c r="V32" s="67"/>
      <c r="W32" s="68"/>
      <c r="X32" s="68"/>
      <c r="Y32" s="68"/>
      <c r="Z32" s="68"/>
      <c r="AA32" s="68"/>
      <c r="AB32" s="71"/>
      <c r="AC32" s="72"/>
      <c r="AD32" s="73"/>
      <c r="AE32" s="73"/>
      <c r="AF32" s="71" t="str">
        <f t="shared" si="3"/>
        <v/>
      </c>
      <c r="AG32" s="73"/>
      <c r="AH32" s="71" t="str">
        <f t="shared" si="4"/>
        <v/>
      </c>
      <c r="AI32" s="73"/>
      <c r="AJ32" s="71" t="str">
        <f t="shared" si="5"/>
        <v/>
      </c>
      <c r="AK32" s="73"/>
      <c r="AL32" s="71" t="str">
        <f t="shared" si="6"/>
        <v/>
      </c>
      <c r="AM32" s="73"/>
      <c r="AN32" s="92" t="str" cm="1">
        <f t="array" ref="AN32">IF(AM32="","",IF((F32-G32)&gt;=4,IF(AM32&gt;=3,"ok","X"),IF(AM32&gt;=1,IF(AM32&lt;=2,"ok","X"),X)))</f>
        <v/>
      </c>
      <c r="AO32" s="95"/>
      <c r="AP32" s="89"/>
      <c r="AQ32" s="89"/>
      <c r="AR32" s="89"/>
      <c r="AS32" s="89"/>
      <c r="AT32" s="89"/>
      <c r="AU32" s="96"/>
    </row>
    <row r="33" spans="1:47" ht="45" customHeight="1" x14ac:dyDescent="0.2">
      <c r="A33" s="1">
        <v>18</v>
      </c>
      <c r="B33" s="64"/>
      <c r="C33" s="65">
        <v>7</v>
      </c>
      <c r="D33" s="66">
        <v>20</v>
      </c>
      <c r="E33" s="66">
        <v>2</v>
      </c>
      <c r="F33" s="66"/>
      <c r="G33" s="79"/>
      <c r="H33" s="82" t="str">
        <f t="shared" si="0"/>
        <v/>
      </c>
      <c r="I33" s="66" t="str">
        <f t="shared" si="1"/>
        <v/>
      </c>
      <c r="J33" s="66"/>
      <c r="K33" s="83"/>
      <c r="L33" s="81">
        <f t="shared" si="2"/>
        <v>0</v>
      </c>
      <c r="M33" s="67"/>
      <c r="N33" s="68"/>
      <c r="O33" s="68"/>
      <c r="P33" s="69"/>
      <c r="Q33" s="68"/>
      <c r="R33" s="70"/>
      <c r="S33" s="67"/>
      <c r="T33" s="68"/>
      <c r="U33" s="70"/>
      <c r="V33" s="67"/>
      <c r="W33" s="68"/>
      <c r="X33" s="68"/>
      <c r="Y33" s="68"/>
      <c r="Z33" s="68"/>
      <c r="AA33" s="68"/>
      <c r="AB33" s="71"/>
      <c r="AC33" s="72"/>
      <c r="AD33" s="73"/>
      <c r="AE33" s="73"/>
      <c r="AF33" s="71" t="str">
        <f t="shared" si="3"/>
        <v/>
      </c>
      <c r="AG33" s="73"/>
      <c r="AH33" s="71" t="str">
        <f t="shared" si="4"/>
        <v/>
      </c>
      <c r="AI33" s="73"/>
      <c r="AJ33" s="71" t="str">
        <f t="shared" si="5"/>
        <v/>
      </c>
      <c r="AK33" s="73"/>
      <c r="AL33" s="71" t="str">
        <f t="shared" si="6"/>
        <v/>
      </c>
      <c r="AM33" s="73"/>
      <c r="AN33" s="92" t="str" cm="1">
        <f t="array" ref="AN33">IF(AM33="","",IF((F33-G33)&gt;=4,IF(AM33&gt;=3,"ok","X"),IF(AM33&gt;=1,IF(AM33&lt;=2,"ok","X"),X)))</f>
        <v/>
      </c>
      <c r="AO33" s="95"/>
      <c r="AP33" s="89"/>
      <c r="AQ33" s="89"/>
      <c r="AR33" s="89"/>
      <c r="AS33" s="89"/>
      <c r="AT33" s="89"/>
      <c r="AU33" s="96"/>
    </row>
    <row r="34" spans="1:47" ht="45" customHeight="1" x14ac:dyDescent="0.2">
      <c r="A34" s="1">
        <v>19</v>
      </c>
      <c r="B34" s="64"/>
      <c r="C34" s="65">
        <v>8</v>
      </c>
      <c r="D34" s="66">
        <v>17.5</v>
      </c>
      <c r="E34" s="66">
        <v>1</v>
      </c>
      <c r="F34" s="66"/>
      <c r="G34" s="79"/>
      <c r="H34" s="82" t="str">
        <f t="shared" si="0"/>
        <v/>
      </c>
      <c r="I34" s="66" t="str">
        <f t="shared" si="1"/>
        <v/>
      </c>
      <c r="J34" s="66"/>
      <c r="K34" s="83"/>
      <c r="L34" s="81">
        <f t="shared" si="2"/>
        <v>0</v>
      </c>
      <c r="M34" s="67"/>
      <c r="N34" s="68"/>
      <c r="O34" s="68"/>
      <c r="P34" s="69"/>
      <c r="Q34" s="68"/>
      <c r="R34" s="70"/>
      <c r="S34" s="67"/>
      <c r="T34" s="68"/>
      <c r="U34" s="70"/>
      <c r="V34" s="67"/>
      <c r="W34" s="68"/>
      <c r="X34" s="68"/>
      <c r="Y34" s="68"/>
      <c r="Z34" s="68"/>
      <c r="AA34" s="68"/>
      <c r="AB34" s="71"/>
      <c r="AC34" s="72"/>
      <c r="AD34" s="73"/>
      <c r="AE34" s="73"/>
      <c r="AF34" s="71" t="str">
        <f t="shared" si="3"/>
        <v/>
      </c>
      <c r="AG34" s="73"/>
      <c r="AH34" s="71" t="str">
        <f t="shared" si="4"/>
        <v/>
      </c>
      <c r="AI34" s="73"/>
      <c r="AJ34" s="71" t="str">
        <f t="shared" si="5"/>
        <v/>
      </c>
      <c r="AK34" s="73"/>
      <c r="AL34" s="71" t="str">
        <f t="shared" si="6"/>
        <v/>
      </c>
      <c r="AM34" s="73"/>
      <c r="AN34" s="92" t="str" cm="1">
        <f t="array" ref="AN34">IF(AM34="","",IF((F34-G34)&gt;=4,IF(AM34&gt;=3,"ok","X"),IF(AM34&gt;=1,IF(AM34&lt;=2,"ok","X"),X)))</f>
        <v/>
      </c>
      <c r="AO34" s="95"/>
      <c r="AP34" s="89"/>
      <c r="AQ34" s="89"/>
      <c r="AR34" s="89"/>
      <c r="AS34" s="89"/>
      <c r="AT34" s="89"/>
      <c r="AU34" s="96"/>
    </row>
    <row r="35" spans="1:47" ht="45" customHeight="1" x14ac:dyDescent="0.2">
      <c r="A35" s="1">
        <v>20</v>
      </c>
      <c r="B35" s="64"/>
      <c r="C35" s="65">
        <v>9</v>
      </c>
      <c r="D35" s="66">
        <v>16.5</v>
      </c>
      <c r="E35" s="66">
        <v>2</v>
      </c>
      <c r="F35" s="66"/>
      <c r="G35" s="79"/>
      <c r="H35" s="82" t="str">
        <f t="shared" si="0"/>
        <v/>
      </c>
      <c r="I35" s="66" t="str">
        <f t="shared" si="1"/>
        <v/>
      </c>
      <c r="J35" s="66"/>
      <c r="K35" s="83"/>
      <c r="L35" s="81">
        <f t="shared" si="2"/>
        <v>0</v>
      </c>
      <c r="M35" s="67"/>
      <c r="N35" s="68"/>
      <c r="O35" s="68"/>
      <c r="P35" s="69"/>
      <c r="Q35" s="68"/>
      <c r="R35" s="70"/>
      <c r="S35" s="67"/>
      <c r="T35" s="68"/>
      <c r="U35" s="70"/>
      <c r="V35" s="67"/>
      <c r="W35" s="68"/>
      <c r="X35" s="68"/>
      <c r="Y35" s="68"/>
      <c r="Z35" s="68"/>
      <c r="AA35" s="68"/>
      <c r="AB35" s="71"/>
      <c r="AC35" s="72"/>
      <c r="AD35" s="73"/>
      <c r="AE35" s="73"/>
      <c r="AF35" s="71" t="str">
        <f t="shared" si="3"/>
        <v/>
      </c>
      <c r="AG35" s="73"/>
      <c r="AH35" s="71" t="str">
        <f t="shared" si="4"/>
        <v/>
      </c>
      <c r="AI35" s="73"/>
      <c r="AJ35" s="71" t="str">
        <f t="shared" si="5"/>
        <v/>
      </c>
      <c r="AK35" s="73"/>
      <c r="AL35" s="71" t="str">
        <f t="shared" si="6"/>
        <v/>
      </c>
      <c r="AM35" s="73"/>
      <c r="AN35" s="92" t="str" cm="1">
        <f t="array" ref="AN35">IF(AM35="","",IF((F35-G35)&gt;=4,IF(AM35&gt;=3,"ok","X"),IF(AM35&gt;=1,IF(AM35&lt;=2,"ok","X"),X)))</f>
        <v/>
      </c>
      <c r="AO35" s="95"/>
      <c r="AP35" s="89"/>
      <c r="AQ35" s="89"/>
      <c r="AR35" s="89"/>
      <c r="AS35" s="89"/>
      <c r="AT35" s="89"/>
      <c r="AU35" s="96"/>
    </row>
    <row r="36" spans="1:47" ht="45" customHeight="1" x14ac:dyDescent="0.2">
      <c r="A36" s="1">
        <v>21</v>
      </c>
      <c r="B36" s="64"/>
      <c r="C36" s="65">
        <v>10</v>
      </c>
      <c r="D36" s="66">
        <v>18</v>
      </c>
      <c r="E36" s="66">
        <v>5</v>
      </c>
      <c r="F36" s="66"/>
      <c r="G36" s="79"/>
      <c r="H36" s="82" t="str">
        <f t="shared" si="0"/>
        <v/>
      </c>
      <c r="I36" s="66" t="str">
        <f t="shared" si="1"/>
        <v/>
      </c>
      <c r="J36" s="66"/>
      <c r="K36" s="83"/>
      <c r="L36" s="81">
        <f t="shared" si="2"/>
        <v>0</v>
      </c>
      <c r="M36" s="67"/>
      <c r="N36" s="68"/>
      <c r="O36" s="68"/>
      <c r="P36" s="69"/>
      <c r="Q36" s="68"/>
      <c r="R36" s="70"/>
      <c r="S36" s="67"/>
      <c r="T36" s="68"/>
      <c r="U36" s="70"/>
      <c r="V36" s="67"/>
      <c r="W36" s="68"/>
      <c r="X36" s="68"/>
      <c r="Y36" s="68"/>
      <c r="Z36" s="68"/>
      <c r="AA36" s="68"/>
      <c r="AB36" s="71"/>
      <c r="AC36" s="72"/>
      <c r="AD36" s="73"/>
      <c r="AE36" s="73"/>
      <c r="AF36" s="71" t="str">
        <f t="shared" si="3"/>
        <v/>
      </c>
      <c r="AG36" s="73"/>
      <c r="AH36" s="71" t="str">
        <f t="shared" si="4"/>
        <v/>
      </c>
      <c r="AI36" s="73"/>
      <c r="AJ36" s="71" t="str">
        <f t="shared" si="5"/>
        <v/>
      </c>
      <c r="AK36" s="73"/>
      <c r="AL36" s="71" t="str">
        <f t="shared" si="6"/>
        <v/>
      </c>
      <c r="AM36" s="73"/>
      <c r="AN36" s="92" t="str" cm="1">
        <f t="array" ref="AN36">IF(AM36="","",IF((F36-G36)&gt;=4,IF(AM36&gt;=3,"ok","X"),IF(AM36&gt;=1,IF(AM36&lt;=2,"ok","X"),X)))</f>
        <v/>
      </c>
      <c r="AO36" s="95"/>
      <c r="AP36" s="89"/>
      <c r="AQ36" s="89"/>
      <c r="AR36" s="89"/>
      <c r="AS36" s="89"/>
      <c r="AT36" s="89"/>
      <c r="AU36" s="96"/>
    </row>
    <row r="37" spans="1:47" ht="45" customHeight="1" x14ac:dyDescent="0.2">
      <c r="A37" s="1">
        <v>22</v>
      </c>
      <c r="B37" s="64"/>
      <c r="C37" s="65">
        <v>11</v>
      </c>
      <c r="D37" s="66">
        <v>15</v>
      </c>
      <c r="E37" s="66">
        <v>1</v>
      </c>
      <c r="F37" s="66"/>
      <c r="G37" s="79"/>
      <c r="H37" s="82" t="str">
        <f t="shared" si="0"/>
        <v/>
      </c>
      <c r="I37" s="66" t="str">
        <f t="shared" si="1"/>
        <v/>
      </c>
      <c r="J37" s="66"/>
      <c r="K37" s="83"/>
      <c r="L37" s="81">
        <f t="shared" si="2"/>
        <v>0</v>
      </c>
      <c r="M37" s="67"/>
      <c r="N37" s="68"/>
      <c r="O37" s="68"/>
      <c r="P37" s="69"/>
      <c r="Q37" s="68"/>
      <c r="R37" s="70"/>
      <c r="S37" s="67"/>
      <c r="T37" s="68"/>
      <c r="U37" s="70"/>
      <c r="V37" s="67"/>
      <c r="W37" s="68"/>
      <c r="X37" s="68"/>
      <c r="Y37" s="68"/>
      <c r="Z37" s="68"/>
      <c r="AA37" s="68"/>
      <c r="AB37" s="71"/>
      <c r="AC37" s="72"/>
      <c r="AD37" s="73"/>
      <c r="AE37" s="73"/>
      <c r="AF37" s="71" t="str">
        <f t="shared" si="3"/>
        <v/>
      </c>
      <c r="AG37" s="73"/>
      <c r="AH37" s="71" t="str">
        <f t="shared" si="4"/>
        <v/>
      </c>
      <c r="AI37" s="73"/>
      <c r="AJ37" s="71" t="str">
        <f t="shared" si="5"/>
        <v/>
      </c>
      <c r="AK37" s="73"/>
      <c r="AL37" s="71" t="str">
        <f t="shared" si="6"/>
        <v/>
      </c>
      <c r="AM37" s="73"/>
      <c r="AN37" s="92" t="str" cm="1">
        <f t="array" ref="AN37">IF(AM37="","",IF((F37-G37)&gt;=4,IF(AM37&gt;=3,"ok","X"),IF(AM37&gt;=1,IF(AM37&lt;=2,"ok","X"),X)))</f>
        <v/>
      </c>
      <c r="AO37" s="95"/>
      <c r="AP37" s="89"/>
      <c r="AQ37" s="89"/>
      <c r="AR37" s="89"/>
      <c r="AS37" s="89"/>
      <c r="AT37" s="89"/>
      <c r="AU37" s="96"/>
    </row>
    <row r="38" spans="1:47" ht="45" customHeight="1" x14ac:dyDescent="0.2">
      <c r="A38" s="1">
        <v>23</v>
      </c>
      <c r="B38" s="64"/>
      <c r="C38" s="65"/>
      <c r="D38" s="66"/>
      <c r="E38" s="66"/>
      <c r="F38" s="66"/>
      <c r="G38" s="79"/>
      <c r="H38" s="82" t="str">
        <f t="shared" si="0"/>
        <v/>
      </c>
      <c r="I38" s="66" t="str">
        <f t="shared" si="1"/>
        <v/>
      </c>
      <c r="J38" s="66"/>
      <c r="K38" s="83"/>
      <c r="L38" s="81">
        <f t="shared" si="2"/>
        <v>0</v>
      </c>
      <c r="M38" s="67"/>
      <c r="N38" s="68"/>
      <c r="O38" s="68"/>
      <c r="P38" s="69"/>
      <c r="Q38" s="68"/>
      <c r="R38" s="70"/>
      <c r="S38" s="67"/>
      <c r="T38" s="68"/>
      <c r="U38" s="70"/>
      <c r="V38" s="67"/>
      <c r="W38" s="68"/>
      <c r="X38" s="68"/>
      <c r="Y38" s="68"/>
      <c r="Z38" s="68"/>
      <c r="AA38" s="68"/>
      <c r="AB38" s="71"/>
      <c r="AC38" s="72"/>
      <c r="AD38" s="73"/>
      <c r="AE38" s="73"/>
      <c r="AF38" s="71" t="str">
        <f t="shared" si="3"/>
        <v/>
      </c>
      <c r="AG38" s="73"/>
      <c r="AH38" s="71" t="str">
        <f t="shared" si="4"/>
        <v/>
      </c>
      <c r="AI38" s="73"/>
      <c r="AJ38" s="71" t="str">
        <f t="shared" si="5"/>
        <v/>
      </c>
      <c r="AK38" s="73"/>
      <c r="AL38" s="71" t="str">
        <f t="shared" si="6"/>
        <v/>
      </c>
      <c r="AM38" s="73"/>
      <c r="AN38" s="92" t="str" cm="1">
        <f t="array" ref="AN38">IF(AM38="","",IF((F38-G38)&gt;=4,IF(AM38&gt;=3,"ok","X"),IF(AM38&gt;=1,IF(AM38&lt;=2,"ok","X"),X)))</f>
        <v/>
      </c>
      <c r="AO38" s="95"/>
      <c r="AP38" s="89"/>
      <c r="AQ38" s="89"/>
      <c r="AR38" s="89"/>
      <c r="AS38" s="89"/>
      <c r="AT38" s="89"/>
      <c r="AU38" s="96"/>
    </row>
    <row r="39" spans="1:47" ht="45" customHeight="1" x14ac:dyDescent="0.2">
      <c r="A39" s="1">
        <v>24</v>
      </c>
      <c r="B39" s="64"/>
      <c r="C39" s="65"/>
      <c r="D39" s="66"/>
      <c r="E39" s="66"/>
      <c r="F39" s="66"/>
      <c r="G39" s="79"/>
      <c r="H39" s="82" t="str">
        <f t="shared" si="0"/>
        <v/>
      </c>
      <c r="I39" s="66" t="str">
        <f t="shared" si="1"/>
        <v/>
      </c>
      <c r="J39" s="66"/>
      <c r="K39" s="83"/>
      <c r="L39" s="81">
        <f t="shared" si="2"/>
        <v>0</v>
      </c>
      <c r="M39" s="67"/>
      <c r="N39" s="68"/>
      <c r="O39" s="68"/>
      <c r="P39" s="69"/>
      <c r="Q39" s="68"/>
      <c r="R39" s="70"/>
      <c r="S39" s="67"/>
      <c r="T39" s="68"/>
      <c r="U39" s="70"/>
      <c r="V39" s="67"/>
      <c r="W39" s="68"/>
      <c r="X39" s="68"/>
      <c r="Y39" s="68"/>
      <c r="Z39" s="68"/>
      <c r="AA39" s="68"/>
      <c r="AB39" s="71"/>
      <c r="AC39" s="72"/>
      <c r="AD39" s="73"/>
      <c r="AE39" s="73"/>
      <c r="AF39" s="71" t="str">
        <f t="shared" si="3"/>
        <v/>
      </c>
      <c r="AG39" s="73"/>
      <c r="AH39" s="71" t="str">
        <f t="shared" si="4"/>
        <v/>
      </c>
      <c r="AI39" s="73"/>
      <c r="AJ39" s="71" t="str">
        <f t="shared" si="5"/>
        <v/>
      </c>
      <c r="AK39" s="73"/>
      <c r="AL39" s="71" t="str">
        <f t="shared" si="6"/>
        <v/>
      </c>
      <c r="AM39" s="73"/>
      <c r="AN39" s="92" t="str" cm="1">
        <f t="array" ref="AN39">IF(AM39="","",IF((F39-G39)&gt;=4,IF(AM39&gt;=3,"ok","X"),IF(AM39&gt;=1,IF(AM39&lt;=2,"ok","X"),X)))</f>
        <v/>
      </c>
      <c r="AO39" s="95"/>
      <c r="AP39" s="89"/>
      <c r="AQ39" s="89"/>
      <c r="AR39" s="89"/>
      <c r="AS39" s="89"/>
      <c r="AT39" s="89"/>
      <c r="AU39" s="96"/>
    </row>
    <row r="40" spans="1:47" ht="45" customHeight="1" x14ac:dyDescent="0.2">
      <c r="A40" s="1">
        <v>25</v>
      </c>
      <c r="B40" s="64"/>
      <c r="C40" s="65"/>
      <c r="D40" s="66"/>
      <c r="E40" s="66"/>
      <c r="F40" s="66"/>
      <c r="G40" s="79"/>
      <c r="H40" s="82" t="str">
        <f t="shared" si="0"/>
        <v/>
      </c>
      <c r="I40" s="66" t="str">
        <f t="shared" si="1"/>
        <v/>
      </c>
      <c r="J40" s="66"/>
      <c r="K40" s="83"/>
      <c r="L40" s="81">
        <f t="shared" si="2"/>
        <v>0</v>
      </c>
      <c r="M40" s="67"/>
      <c r="N40" s="68"/>
      <c r="O40" s="68"/>
      <c r="P40" s="69"/>
      <c r="Q40" s="68"/>
      <c r="R40" s="70"/>
      <c r="S40" s="67"/>
      <c r="T40" s="68"/>
      <c r="U40" s="70"/>
      <c r="V40" s="67"/>
      <c r="W40" s="68"/>
      <c r="X40" s="68"/>
      <c r="Y40" s="68"/>
      <c r="Z40" s="68"/>
      <c r="AA40" s="68"/>
      <c r="AB40" s="71"/>
      <c r="AC40" s="72"/>
      <c r="AD40" s="73"/>
      <c r="AE40" s="73"/>
      <c r="AF40" s="71" t="str">
        <f t="shared" si="3"/>
        <v/>
      </c>
      <c r="AG40" s="73"/>
      <c r="AH40" s="71" t="str">
        <f t="shared" si="4"/>
        <v/>
      </c>
      <c r="AI40" s="73"/>
      <c r="AJ40" s="71" t="str">
        <f t="shared" si="5"/>
        <v/>
      </c>
      <c r="AK40" s="73"/>
      <c r="AL40" s="71" t="str">
        <f t="shared" si="6"/>
        <v/>
      </c>
      <c r="AM40" s="73"/>
      <c r="AN40" s="92" t="str" cm="1">
        <f t="array" ref="AN40">IF(AM40="","",IF((F40-G40)&gt;=4,IF(AM40&gt;=3,"ok","X"),IF(AM40&gt;=1,IF(AM40&lt;=2,"ok","X"),X)))</f>
        <v/>
      </c>
      <c r="AO40" s="95"/>
      <c r="AP40" s="89"/>
      <c r="AQ40" s="89"/>
      <c r="AR40" s="89"/>
      <c r="AS40" s="89"/>
      <c r="AT40" s="89"/>
      <c r="AU40" s="96"/>
    </row>
    <row r="41" spans="1:47" ht="45" customHeight="1" x14ac:dyDescent="0.2">
      <c r="A41" s="1">
        <v>26</v>
      </c>
      <c r="B41" s="64"/>
      <c r="C41" s="65"/>
      <c r="D41" s="66"/>
      <c r="E41" s="66"/>
      <c r="F41" s="66"/>
      <c r="G41" s="79"/>
      <c r="H41" s="82" t="str">
        <f t="shared" si="0"/>
        <v/>
      </c>
      <c r="I41" s="66" t="str">
        <f t="shared" si="1"/>
        <v/>
      </c>
      <c r="J41" s="66"/>
      <c r="K41" s="83"/>
      <c r="L41" s="81">
        <f t="shared" si="2"/>
        <v>0</v>
      </c>
      <c r="M41" s="67"/>
      <c r="N41" s="68"/>
      <c r="O41" s="68"/>
      <c r="P41" s="69"/>
      <c r="Q41" s="68"/>
      <c r="R41" s="70"/>
      <c r="S41" s="67"/>
      <c r="T41" s="68"/>
      <c r="U41" s="70"/>
      <c r="V41" s="67"/>
      <c r="W41" s="68"/>
      <c r="X41" s="68"/>
      <c r="Y41" s="68"/>
      <c r="Z41" s="68"/>
      <c r="AA41" s="68"/>
      <c r="AB41" s="71"/>
      <c r="AC41" s="72"/>
      <c r="AD41" s="73"/>
      <c r="AE41" s="73"/>
      <c r="AF41" s="71" t="str">
        <f t="shared" si="3"/>
        <v/>
      </c>
      <c r="AG41" s="73"/>
      <c r="AH41" s="71" t="str">
        <f t="shared" si="4"/>
        <v/>
      </c>
      <c r="AI41" s="73"/>
      <c r="AJ41" s="71" t="str">
        <f t="shared" si="5"/>
        <v/>
      </c>
      <c r="AK41" s="73"/>
      <c r="AL41" s="71" t="str">
        <f t="shared" si="6"/>
        <v/>
      </c>
      <c r="AM41" s="73"/>
      <c r="AN41" s="92" t="str" cm="1">
        <f t="array" ref="AN41">IF(AM41="","",IF((F41-G41)&gt;=4,IF(AM41&gt;=3,"ok","X"),IF(AM41&gt;=1,IF(AM41&lt;=2,"ok","X"),X)))</f>
        <v/>
      </c>
      <c r="AO41" s="95"/>
      <c r="AP41" s="89"/>
      <c r="AQ41" s="89"/>
      <c r="AR41" s="89"/>
      <c r="AS41" s="89"/>
      <c r="AT41" s="89"/>
      <c r="AU41" s="96"/>
    </row>
    <row r="42" spans="1:47" ht="45" customHeight="1" x14ac:dyDescent="0.2">
      <c r="A42" s="1">
        <v>27</v>
      </c>
      <c r="B42" s="64"/>
      <c r="C42" s="65"/>
      <c r="D42" s="66"/>
      <c r="E42" s="66"/>
      <c r="F42" s="66"/>
      <c r="G42" s="79"/>
      <c r="H42" s="82" t="str">
        <f t="shared" si="0"/>
        <v/>
      </c>
      <c r="I42" s="66" t="str">
        <f t="shared" si="1"/>
        <v/>
      </c>
      <c r="J42" s="66"/>
      <c r="K42" s="83"/>
      <c r="L42" s="81">
        <f t="shared" si="2"/>
        <v>0</v>
      </c>
      <c r="M42" s="67"/>
      <c r="N42" s="68"/>
      <c r="O42" s="68"/>
      <c r="P42" s="69"/>
      <c r="Q42" s="68"/>
      <c r="R42" s="70"/>
      <c r="S42" s="67"/>
      <c r="T42" s="68"/>
      <c r="U42" s="70"/>
      <c r="V42" s="67"/>
      <c r="W42" s="68"/>
      <c r="X42" s="68"/>
      <c r="Y42" s="68"/>
      <c r="Z42" s="68"/>
      <c r="AA42" s="68"/>
      <c r="AB42" s="71"/>
      <c r="AC42" s="72"/>
      <c r="AD42" s="73"/>
      <c r="AE42" s="73"/>
      <c r="AF42" s="71" t="str">
        <f t="shared" si="3"/>
        <v/>
      </c>
      <c r="AG42" s="73"/>
      <c r="AH42" s="71" t="str">
        <f t="shared" si="4"/>
        <v/>
      </c>
      <c r="AI42" s="73"/>
      <c r="AJ42" s="71" t="str">
        <f t="shared" si="5"/>
        <v/>
      </c>
      <c r="AK42" s="73"/>
      <c r="AL42" s="71" t="str">
        <f t="shared" si="6"/>
        <v/>
      </c>
      <c r="AM42" s="73"/>
      <c r="AN42" s="92" t="str" cm="1">
        <f t="array" ref="AN42">IF(AM42="","",IF((F42-G42)&gt;=4,IF(AM42&gt;=3,"ok","X"),IF(AM42&gt;=1,IF(AM42&lt;=2,"ok","X"),X)))</f>
        <v/>
      </c>
      <c r="AO42" s="95"/>
      <c r="AP42" s="89"/>
      <c r="AQ42" s="89"/>
      <c r="AR42" s="89"/>
      <c r="AS42" s="89"/>
      <c r="AT42" s="89"/>
      <c r="AU42" s="96"/>
    </row>
    <row r="43" spans="1:47" ht="45" customHeight="1" x14ac:dyDescent="0.2">
      <c r="A43" s="1">
        <v>28</v>
      </c>
      <c r="B43" s="64"/>
      <c r="C43" s="65"/>
      <c r="D43" s="66"/>
      <c r="E43" s="66"/>
      <c r="F43" s="66"/>
      <c r="G43" s="79"/>
      <c r="H43" s="82" t="str">
        <f t="shared" si="0"/>
        <v/>
      </c>
      <c r="I43" s="66" t="str">
        <f t="shared" si="1"/>
        <v/>
      </c>
      <c r="J43" s="66"/>
      <c r="K43" s="83"/>
      <c r="L43" s="81">
        <f t="shared" si="2"/>
        <v>0</v>
      </c>
      <c r="M43" s="67"/>
      <c r="N43" s="68"/>
      <c r="O43" s="68"/>
      <c r="P43" s="69"/>
      <c r="Q43" s="68"/>
      <c r="R43" s="70"/>
      <c r="S43" s="67"/>
      <c r="T43" s="68"/>
      <c r="U43" s="70"/>
      <c r="V43" s="67"/>
      <c r="W43" s="68"/>
      <c r="X43" s="68"/>
      <c r="Y43" s="68"/>
      <c r="Z43" s="68"/>
      <c r="AA43" s="68"/>
      <c r="AB43" s="71"/>
      <c r="AC43" s="72"/>
      <c r="AD43" s="73"/>
      <c r="AE43" s="73"/>
      <c r="AF43" s="71" t="str">
        <f t="shared" si="3"/>
        <v/>
      </c>
      <c r="AG43" s="73"/>
      <c r="AH43" s="71" t="str">
        <f t="shared" si="4"/>
        <v/>
      </c>
      <c r="AI43" s="73"/>
      <c r="AJ43" s="71" t="str">
        <f t="shared" si="5"/>
        <v/>
      </c>
      <c r="AK43" s="73"/>
      <c r="AL43" s="71" t="str">
        <f t="shared" si="6"/>
        <v/>
      </c>
      <c r="AM43" s="73"/>
      <c r="AN43" s="92" t="str" cm="1">
        <f t="array" ref="AN43">IF(AM43="","",IF((F43-G43)&gt;=4,IF(AM43&gt;=3,"ok","X"),IF(AM43&gt;=1,IF(AM43&lt;=2,"ok","X"),X)))</f>
        <v/>
      </c>
      <c r="AO43" s="95"/>
      <c r="AP43" s="89"/>
      <c r="AQ43" s="89"/>
      <c r="AR43" s="89"/>
      <c r="AS43" s="89"/>
      <c r="AT43" s="89"/>
      <c r="AU43" s="96"/>
    </row>
    <row r="44" spans="1:47" ht="45" customHeight="1" x14ac:dyDescent="0.2">
      <c r="A44" s="1">
        <v>29</v>
      </c>
      <c r="B44" s="64"/>
      <c r="C44" s="65"/>
      <c r="D44" s="66"/>
      <c r="E44" s="66"/>
      <c r="F44" s="66"/>
      <c r="G44" s="79"/>
      <c r="H44" s="82" t="str">
        <f t="shared" si="0"/>
        <v/>
      </c>
      <c r="I44" s="66" t="str">
        <f t="shared" si="1"/>
        <v/>
      </c>
      <c r="J44" s="66"/>
      <c r="K44" s="83"/>
      <c r="L44" s="81">
        <f t="shared" si="2"/>
        <v>0</v>
      </c>
      <c r="M44" s="67"/>
      <c r="N44" s="68"/>
      <c r="O44" s="68"/>
      <c r="P44" s="69"/>
      <c r="Q44" s="68"/>
      <c r="R44" s="70"/>
      <c r="S44" s="67"/>
      <c r="T44" s="68"/>
      <c r="U44" s="70"/>
      <c r="V44" s="67"/>
      <c r="W44" s="68"/>
      <c r="X44" s="68"/>
      <c r="Y44" s="68"/>
      <c r="Z44" s="68"/>
      <c r="AA44" s="68"/>
      <c r="AB44" s="71"/>
      <c r="AC44" s="72"/>
      <c r="AD44" s="73"/>
      <c r="AE44" s="73"/>
      <c r="AF44" s="71" t="str">
        <f t="shared" si="3"/>
        <v/>
      </c>
      <c r="AG44" s="73"/>
      <c r="AH44" s="71" t="str">
        <f t="shared" si="4"/>
        <v/>
      </c>
      <c r="AI44" s="73"/>
      <c r="AJ44" s="71" t="str">
        <f t="shared" si="5"/>
        <v/>
      </c>
      <c r="AK44" s="73"/>
      <c r="AL44" s="71" t="str">
        <f t="shared" si="6"/>
        <v/>
      </c>
      <c r="AM44" s="73"/>
      <c r="AN44" s="92" t="str" cm="1">
        <f t="array" ref="AN44">IF(AM44="","",IF((F44-G44)&gt;=4,IF(AM44&gt;=3,"ok","X"),IF(AM44&gt;=1,IF(AM44&lt;=2,"ok","X"),X)))</f>
        <v/>
      </c>
      <c r="AO44" s="95"/>
      <c r="AP44" s="89"/>
      <c r="AQ44" s="89"/>
      <c r="AR44" s="89"/>
      <c r="AS44" s="89"/>
      <c r="AT44" s="89"/>
      <c r="AU44" s="96"/>
    </row>
    <row r="45" spans="1:47" ht="45" customHeight="1" x14ac:dyDescent="0.2">
      <c r="A45" s="1">
        <v>30</v>
      </c>
      <c r="B45" s="64"/>
      <c r="C45" s="65"/>
      <c r="D45" s="66"/>
      <c r="E45" s="66"/>
      <c r="F45" s="66"/>
      <c r="G45" s="79"/>
      <c r="H45" s="82" t="str">
        <f t="shared" si="0"/>
        <v/>
      </c>
      <c r="I45" s="66" t="str">
        <f t="shared" si="1"/>
        <v/>
      </c>
      <c r="J45" s="66"/>
      <c r="K45" s="83"/>
      <c r="L45" s="81">
        <f t="shared" si="2"/>
        <v>0</v>
      </c>
      <c r="M45" s="67"/>
      <c r="N45" s="68"/>
      <c r="O45" s="68"/>
      <c r="P45" s="69"/>
      <c r="Q45" s="68"/>
      <c r="R45" s="70"/>
      <c r="S45" s="67"/>
      <c r="T45" s="68"/>
      <c r="U45" s="70"/>
      <c r="V45" s="67"/>
      <c r="W45" s="68"/>
      <c r="X45" s="68"/>
      <c r="Y45" s="68"/>
      <c r="Z45" s="68"/>
      <c r="AA45" s="68"/>
      <c r="AB45" s="71"/>
      <c r="AC45" s="72"/>
      <c r="AD45" s="73"/>
      <c r="AE45" s="73"/>
      <c r="AF45" s="71" t="str">
        <f t="shared" si="3"/>
        <v/>
      </c>
      <c r="AG45" s="73"/>
      <c r="AH45" s="71" t="str">
        <f t="shared" si="4"/>
        <v/>
      </c>
      <c r="AI45" s="73"/>
      <c r="AJ45" s="71" t="str">
        <f t="shared" si="5"/>
        <v/>
      </c>
      <c r="AK45" s="73"/>
      <c r="AL45" s="71" t="str">
        <f t="shared" si="6"/>
        <v/>
      </c>
      <c r="AM45" s="73"/>
      <c r="AN45" s="92" t="str" cm="1">
        <f t="array" ref="AN45">IF(AM45="","",IF((F45-G45)&gt;=4,IF(AM45&gt;=3,"ok","X"),IF(AM45&gt;=1,IF(AM45&lt;=2,"ok","X"),X)))</f>
        <v/>
      </c>
      <c r="AO45" s="95"/>
      <c r="AP45" s="89"/>
      <c r="AQ45" s="89"/>
      <c r="AR45" s="89"/>
      <c r="AS45" s="89"/>
      <c r="AT45" s="89"/>
      <c r="AU45" s="96"/>
    </row>
    <row r="46" spans="1:47" ht="45" customHeight="1" x14ac:dyDescent="0.2">
      <c r="A46" s="1">
        <v>31</v>
      </c>
      <c r="B46" s="64"/>
      <c r="C46" s="65"/>
      <c r="D46" s="66"/>
      <c r="E46" s="66"/>
      <c r="F46" s="66"/>
      <c r="G46" s="79"/>
      <c r="H46" s="82" t="str">
        <f t="shared" si="0"/>
        <v/>
      </c>
      <c r="I46" s="66" t="str">
        <f t="shared" si="1"/>
        <v/>
      </c>
      <c r="J46" s="66"/>
      <c r="K46" s="83"/>
      <c r="L46" s="81">
        <f t="shared" si="2"/>
        <v>0</v>
      </c>
      <c r="M46" s="67"/>
      <c r="N46" s="68"/>
      <c r="O46" s="68"/>
      <c r="P46" s="69"/>
      <c r="Q46" s="68"/>
      <c r="R46" s="70"/>
      <c r="S46" s="67"/>
      <c r="T46" s="68"/>
      <c r="U46" s="70"/>
      <c r="V46" s="67"/>
      <c r="W46" s="68"/>
      <c r="X46" s="68"/>
      <c r="Y46" s="68"/>
      <c r="Z46" s="68"/>
      <c r="AA46" s="68"/>
      <c r="AB46" s="71"/>
      <c r="AC46" s="72"/>
      <c r="AD46" s="73"/>
      <c r="AE46" s="73"/>
      <c r="AF46" s="71" t="str">
        <f t="shared" si="3"/>
        <v/>
      </c>
      <c r="AG46" s="73"/>
      <c r="AH46" s="71" t="str">
        <f t="shared" si="4"/>
        <v/>
      </c>
      <c r="AI46" s="73"/>
      <c r="AJ46" s="71" t="str">
        <f t="shared" si="5"/>
        <v/>
      </c>
      <c r="AK46" s="73"/>
      <c r="AL46" s="71" t="str">
        <f t="shared" si="6"/>
        <v/>
      </c>
      <c r="AM46" s="73"/>
      <c r="AN46" s="92" t="str" cm="1">
        <f t="array" ref="AN46">IF(AM46="","",IF((F46-G46)&gt;=4,IF(AM46&gt;=3,"ok","X"),IF(AM46&gt;=1,IF(AM46&lt;=2,"ok","X"),X)))</f>
        <v/>
      </c>
      <c r="AO46" s="95"/>
      <c r="AP46" s="89"/>
      <c r="AQ46" s="89"/>
      <c r="AR46" s="89"/>
      <c r="AS46" s="89"/>
      <c r="AT46" s="89"/>
      <c r="AU46" s="96"/>
    </row>
    <row r="47" spans="1:47" ht="45" customHeight="1" x14ac:dyDescent="0.2">
      <c r="A47" s="1">
        <v>32</v>
      </c>
      <c r="B47" s="64"/>
      <c r="C47" s="65"/>
      <c r="D47" s="66"/>
      <c r="E47" s="66"/>
      <c r="F47" s="66"/>
      <c r="G47" s="79"/>
      <c r="H47" s="82" t="str">
        <f t="shared" si="0"/>
        <v/>
      </c>
      <c r="I47" s="66" t="str">
        <f t="shared" si="1"/>
        <v/>
      </c>
      <c r="J47" s="66"/>
      <c r="K47" s="83"/>
      <c r="L47" s="81">
        <f t="shared" si="2"/>
        <v>0</v>
      </c>
      <c r="M47" s="67"/>
      <c r="N47" s="68"/>
      <c r="O47" s="68"/>
      <c r="P47" s="69"/>
      <c r="Q47" s="68"/>
      <c r="R47" s="70"/>
      <c r="S47" s="67"/>
      <c r="T47" s="68"/>
      <c r="U47" s="70"/>
      <c r="V47" s="67"/>
      <c r="W47" s="68"/>
      <c r="X47" s="68"/>
      <c r="Y47" s="68"/>
      <c r="Z47" s="68"/>
      <c r="AA47" s="68"/>
      <c r="AB47" s="71"/>
      <c r="AC47" s="72"/>
      <c r="AD47" s="73"/>
      <c r="AE47" s="73"/>
      <c r="AF47" s="71" t="str">
        <f t="shared" si="3"/>
        <v/>
      </c>
      <c r="AG47" s="73"/>
      <c r="AH47" s="71" t="str">
        <f t="shared" si="4"/>
        <v/>
      </c>
      <c r="AI47" s="73"/>
      <c r="AJ47" s="71" t="str">
        <f t="shared" si="5"/>
        <v/>
      </c>
      <c r="AK47" s="73"/>
      <c r="AL47" s="71" t="str">
        <f t="shared" si="6"/>
        <v/>
      </c>
      <c r="AM47" s="73"/>
      <c r="AN47" s="92" t="str" cm="1">
        <f t="array" ref="AN47">IF(AM47="","",IF((F47-G47)&gt;=4,IF(AM47&gt;=3,"ok","X"),IF(AM47&gt;=1,IF(AM47&lt;=2,"ok","X"),X)))</f>
        <v/>
      </c>
      <c r="AO47" s="95"/>
      <c r="AP47" s="89"/>
      <c r="AQ47" s="89"/>
      <c r="AR47" s="89"/>
      <c r="AS47" s="89"/>
      <c r="AT47" s="89"/>
      <c r="AU47" s="96"/>
    </row>
    <row r="48" spans="1:47" ht="45" customHeight="1" x14ac:dyDescent="0.2">
      <c r="A48" s="1">
        <v>33</v>
      </c>
      <c r="B48" s="64"/>
      <c r="C48" s="65"/>
      <c r="D48" s="66"/>
      <c r="E48" s="66"/>
      <c r="F48" s="66"/>
      <c r="G48" s="79"/>
      <c r="H48" s="82" t="str">
        <f t="shared" si="0"/>
        <v/>
      </c>
      <c r="I48" s="66" t="str">
        <f t="shared" si="1"/>
        <v/>
      </c>
      <c r="J48" s="66"/>
      <c r="K48" s="83"/>
      <c r="L48" s="81">
        <f t="shared" si="2"/>
        <v>0</v>
      </c>
      <c r="M48" s="67"/>
      <c r="N48" s="68"/>
      <c r="O48" s="68"/>
      <c r="P48" s="69"/>
      <c r="Q48" s="68"/>
      <c r="R48" s="70"/>
      <c r="S48" s="67"/>
      <c r="T48" s="68"/>
      <c r="U48" s="70"/>
      <c r="V48" s="67"/>
      <c r="W48" s="68"/>
      <c r="X48" s="68"/>
      <c r="Y48" s="68"/>
      <c r="Z48" s="68"/>
      <c r="AA48" s="68"/>
      <c r="AB48" s="71"/>
      <c r="AC48" s="72"/>
      <c r="AD48" s="73"/>
      <c r="AE48" s="73"/>
      <c r="AF48" s="71" t="str">
        <f t="shared" si="3"/>
        <v/>
      </c>
      <c r="AG48" s="73"/>
      <c r="AH48" s="71" t="str">
        <f t="shared" si="4"/>
        <v/>
      </c>
      <c r="AI48" s="73"/>
      <c r="AJ48" s="71" t="str">
        <f t="shared" si="5"/>
        <v/>
      </c>
      <c r="AK48" s="73"/>
      <c r="AL48" s="71" t="str">
        <f t="shared" si="6"/>
        <v/>
      </c>
      <c r="AM48" s="73"/>
      <c r="AN48" s="92" t="str" cm="1">
        <f t="array" ref="AN48">IF(AM48="","",IF((F48-G48)&gt;=4,IF(AM48&gt;=3,"ok","X"),IF(AM48&gt;=1,IF(AM48&lt;=2,"ok","X"),X)))</f>
        <v/>
      </c>
      <c r="AO48" s="95"/>
      <c r="AP48" s="89"/>
      <c r="AQ48" s="89"/>
      <c r="AR48" s="89"/>
      <c r="AS48" s="89"/>
      <c r="AT48" s="89"/>
      <c r="AU48" s="96"/>
    </row>
    <row r="49" spans="1:47" ht="45" customHeight="1" x14ac:dyDescent="0.2">
      <c r="A49" s="1">
        <v>34</v>
      </c>
      <c r="B49" s="64"/>
      <c r="C49" s="65"/>
      <c r="D49" s="66"/>
      <c r="E49" s="66"/>
      <c r="F49" s="66"/>
      <c r="G49" s="79"/>
      <c r="H49" s="82" t="str">
        <f t="shared" si="0"/>
        <v/>
      </c>
      <c r="I49" s="66" t="str">
        <f t="shared" si="1"/>
        <v/>
      </c>
      <c r="J49" s="66"/>
      <c r="K49" s="83"/>
      <c r="L49" s="81">
        <f t="shared" si="2"/>
        <v>0</v>
      </c>
      <c r="M49" s="67"/>
      <c r="N49" s="68"/>
      <c r="O49" s="68"/>
      <c r="P49" s="69"/>
      <c r="Q49" s="68"/>
      <c r="R49" s="70"/>
      <c r="S49" s="67"/>
      <c r="T49" s="68"/>
      <c r="U49" s="70"/>
      <c r="V49" s="67"/>
      <c r="W49" s="68"/>
      <c r="X49" s="68"/>
      <c r="Y49" s="68"/>
      <c r="Z49" s="68"/>
      <c r="AA49" s="68"/>
      <c r="AB49" s="71"/>
      <c r="AC49" s="72"/>
      <c r="AD49" s="73"/>
      <c r="AE49" s="73"/>
      <c r="AF49" s="71" t="str">
        <f t="shared" si="3"/>
        <v/>
      </c>
      <c r="AG49" s="73"/>
      <c r="AH49" s="71" t="str">
        <f t="shared" si="4"/>
        <v/>
      </c>
      <c r="AI49" s="73"/>
      <c r="AJ49" s="71" t="str">
        <f t="shared" si="5"/>
        <v/>
      </c>
      <c r="AK49" s="73"/>
      <c r="AL49" s="71" t="str">
        <f t="shared" si="6"/>
        <v/>
      </c>
      <c r="AM49" s="73"/>
      <c r="AN49" s="92" t="str" cm="1">
        <f t="array" ref="AN49">IF(AM49="","",IF((F49-G49)&gt;=4,IF(AM49&gt;=3,"ok","X"),IF(AM49&gt;=1,IF(AM49&lt;=2,"ok","X"),X)))</f>
        <v/>
      </c>
      <c r="AO49" s="95"/>
      <c r="AP49" s="89"/>
      <c r="AQ49" s="89"/>
      <c r="AR49" s="89"/>
      <c r="AS49" s="89"/>
      <c r="AT49" s="89"/>
      <c r="AU49" s="96"/>
    </row>
    <row r="50" spans="1:47" ht="45" customHeight="1" x14ac:dyDescent="0.2">
      <c r="A50" s="1">
        <v>35</v>
      </c>
      <c r="B50" s="64"/>
      <c r="C50" s="65"/>
      <c r="D50" s="66"/>
      <c r="E50" s="66"/>
      <c r="F50" s="66"/>
      <c r="G50" s="79"/>
      <c r="H50" s="82" t="str">
        <f t="shared" si="0"/>
        <v/>
      </c>
      <c r="I50" s="66" t="str">
        <f t="shared" si="1"/>
        <v/>
      </c>
      <c r="J50" s="66"/>
      <c r="K50" s="83"/>
      <c r="L50" s="81">
        <f t="shared" si="2"/>
        <v>0</v>
      </c>
      <c r="M50" s="67"/>
      <c r="N50" s="68"/>
      <c r="O50" s="68"/>
      <c r="P50" s="69"/>
      <c r="Q50" s="68"/>
      <c r="R50" s="70"/>
      <c r="S50" s="67"/>
      <c r="T50" s="68"/>
      <c r="U50" s="70"/>
      <c r="V50" s="67"/>
      <c r="W50" s="68"/>
      <c r="X50" s="68"/>
      <c r="Y50" s="68"/>
      <c r="Z50" s="68"/>
      <c r="AA50" s="68"/>
      <c r="AB50" s="71"/>
      <c r="AC50" s="72"/>
      <c r="AD50" s="73"/>
      <c r="AE50" s="73"/>
      <c r="AF50" s="71" t="str">
        <f t="shared" si="3"/>
        <v/>
      </c>
      <c r="AG50" s="73"/>
      <c r="AH50" s="71" t="str">
        <f t="shared" si="4"/>
        <v/>
      </c>
      <c r="AI50" s="73"/>
      <c r="AJ50" s="71" t="str">
        <f t="shared" si="5"/>
        <v/>
      </c>
      <c r="AK50" s="73"/>
      <c r="AL50" s="71" t="str">
        <f t="shared" si="6"/>
        <v/>
      </c>
      <c r="AM50" s="73"/>
      <c r="AN50" s="92" t="str" cm="1">
        <f t="array" ref="AN50">IF(AM50="","",IF((F50-G50)&gt;=4,IF(AM50&gt;=3,"ok","X"),IF(AM50&gt;=1,IF(AM50&lt;=2,"ok","X"),X)))</f>
        <v/>
      </c>
      <c r="AO50" s="95"/>
      <c r="AP50" s="89"/>
      <c r="AQ50" s="89"/>
      <c r="AR50" s="89"/>
      <c r="AS50" s="89"/>
      <c r="AT50" s="89"/>
      <c r="AU50" s="96"/>
    </row>
    <row r="51" spans="1:47" ht="45" customHeight="1" x14ac:dyDescent="0.2">
      <c r="A51" s="1">
        <v>36</v>
      </c>
      <c r="B51" s="64"/>
      <c r="C51" s="65"/>
      <c r="D51" s="66"/>
      <c r="E51" s="66"/>
      <c r="F51" s="66"/>
      <c r="G51" s="79"/>
      <c r="H51" s="82" t="str">
        <f t="shared" si="0"/>
        <v/>
      </c>
      <c r="I51" s="66" t="str">
        <f t="shared" si="1"/>
        <v/>
      </c>
      <c r="J51" s="66"/>
      <c r="K51" s="83"/>
      <c r="L51" s="81">
        <f t="shared" si="2"/>
        <v>0</v>
      </c>
      <c r="M51" s="67"/>
      <c r="N51" s="68"/>
      <c r="O51" s="68"/>
      <c r="P51" s="69"/>
      <c r="Q51" s="68"/>
      <c r="R51" s="70"/>
      <c r="S51" s="67"/>
      <c r="T51" s="68"/>
      <c r="U51" s="70"/>
      <c r="V51" s="67"/>
      <c r="W51" s="68"/>
      <c r="X51" s="68"/>
      <c r="Y51" s="68"/>
      <c r="Z51" s="68"/>
      <c r="AA51" s="68"/>
      <c r="AB51" s="71"/>
      <c r="AC51" s="72"/>
      <c r="AD51" s="73"/>
      <c r="AE51" s="73"/>
      <c r="AF51" s="71" t="str">
        <f t="shared" si="3"/>
        <v/>
      </c>
      <c r="AG51" s="73"/>
      <c r="AH51" s="71" t="str">
        <f t="shared" si="4"/>
        <v/>
      </c>
      <c r="AI51" s="73"/>
      <c r="AJ51" s="71" t="str">
        <f t="shared" si="5"/>
        <v/>
      </c>
      <c r="AK51" s="73"/>
      <c r="AL51" s="71" t="str">
        <f t="shared" si="6"/>
        <v/>
      </c>
      <c r="AM51" s="73"/>
      <c r="AN51" s="92" t="str" cm="1">
        <f t="array" ref="AN51">IF(AM51="","",IF((F51-G51)&gt;=4,IF(AM51&gt;=3,"ok","X"),IF(AM51&gt;=1,IF(AM51&lt;=2,"ok","X"),X)))</f>
        <v/>
      </c>
      <c r="AO51" s="95"/>
      <c r="AP51" s="89"/>
      <c r="AQ51" s="89"/>
      <c r="AR51" s="89"/>
      <c r="AS51" s="89"/>
      <c r="AT51" s="89"/>
      <c r="AU51" s="96"/>
    </row>
    <row r="52" spans="1:47" ht="45" customHeight="1" x14ac:dyDescent="0.2">
      <c r="A52" s="1">
        <v>37</v>
      </c>
      <c r="B52" s="64"/>
      <c r="C52" s="65"/>
      <c r="D52" s="66"/>
      <c r="E52" s="66"/>
      <c r="F52" s="66"/>
      <c r="G52" s="79"/>
      <c r="H52" s="82" t="str">
        <f t="shared" si="0"/>
        <v/>
      </c>
      <c r="I52" s="66" t="str">
        <f t="shared" si="1"/>
        <v/>
      </c>
      <c r="J52" s="66"/>
      <c r="K52" s="83"/>
      <c r="L52" s="81">
        <f t="shared" si="2"/>
        <v>0</v>
      </c>
      <c r="M52" s="67"/>
      <c r="N52" s="68"/>
      <c r="O52" s="68"/>
      <c r="P52" s="69"/>
      <c r="Q52" s="68"/>
      <c r="R52" s="70"/>
      <c r="S52" s="67"/>
      <c r="T52" s="68"/>
      <c r="U52" s="70"/>
      <c r="V52" s="67"/>
      <c r="W52" s="68"/>
      <c r="X52" s="68"/>
      <c r="Y52" s="68"/>
      <c r="Z52" s="68"/>
      <c r="AA52" s="68"/>
      <c r="AB52" s="71"/>
      <c r="AC52" s="72"/>
      <c r="AD52" s="73"/>
      <c r="AE52" s="73"/>
      <c r="AF52" s="71" t="str">
        <f t="shared" si="3"/>
        <v/>
      </c>
      <c r="AG52" s="73"/>
      <c r="AH52" s="71" t="str">
        <f t="shared" si="4"/>
        <v/>
      </c>
      <c r="AI52" s="73"/>
      <c r="AJ52" s="71" t="str">
        <f t="shared" si="5"/>
        <v/>
      </c>
      <c r="AK52" s="73"/>
      <c r="AL52" s="71" t="str">
        <f t="shared" si="6"/>
        <v/>
      </c>
      <c r="AM52" s="73"/>
      <c r="AN52" s="92" t="str" cm="1">
        <f t="array" ref="AN52">IF(AM52="","",IF((F52-G52)&gt;=4,IF(AM52&gt;=3,"ok","X"),IF(AM52&gt;=1,IF(AM52&lt;=2,"ok","X"),X)))</f>
        <v/>
      </c>
      <c r="AO52" s="95"/>
      <c r="AP52" s="89"/>
      <c r="AQ52" s="89"/>
      <c r="AR52" s="89"/>
      <c r="AS52" s="89"/>
      <c r="AT52" s="89"/>
      <c r="AU52" s="96"/>
    </row>
    <row r="53" spans="1:47" ht="45" customHeight="1" x14ac:dyDescent="0.2">
      <c r="A53" s="1">
        <v>38</v>
      </c>
      <c r="B53" s="64"/>
      <c r="C53" s="65"/>
      <c r="D53" s="66"/>
      <c r="E53" s="66"/>
      <c r="F53" s="66"/>
      <c r="G53" s="79"/>
      <c r="H53" s="82" t="str">
        <f t="shared" si="0"/>
        <v/>
      </c>
      <c r="I53" s="66" t="str">
        <f t="shared" si="1"/>
        <v/>
      </c>
      <c r="J53" s="66"/>
      <c r="K53" s="83"/>
      <c r="L53" s="81">
        <f t="shared" si="2"/>
        <v>0</v>
      </c>
      <c r="M53" s="67"/>
      <c r="N53" s="68"/>
      <c r="O53" s="68"/>
      <c r="P53" s="69"/>
      <c r="Q53" s="68"/>
      <c r="R53" s="70"/>
      <c r="S53" s="67"/>
      <c r="T53" s="68"/>
      <c r="U53" s="70"/>
      <c r="V53" s="67"/>
      <c r="W53" s="68"/>
      <c r="X53" s="68"/>
      <c r="Y53" s="68"/>
      <c r="Z53" s="68"/>
      <c r="AA53" s="68"/>
      <c r="AB53" s="71"/>
      <c r="AC53" s="72"/>
      <c r="AD53" s="73"/>
      <c r="AE53" s="73"/>
      <c r="AF53" s="71" t="str">
        <f t="shared" si="3"/>
        <v/>
      </c>
      <c r="AG53" s="73"/>
      <c r="AH53" s="71" t="str">
        <f t="shared" si="4"/>
        <v/>
      </c>
      <c r="AI53" s="73"/>
      <c r="AJ53" s="71" t="str">
        <f t="shared" si="5"/>
        <v/>
      </c>
      <c r="AK53" s="73"/>
      <c r="AL53" s="71" t="str">
        <f t="shared" si="6"/>
        <v/>
      </c>
      <c r="AM53" s="73"/>
      <c r="AN53" s="92" t="str" cm="1">
        <f t="array" ref="AN53">IF(AM53="","",IF((F53-G53)&gt;=4,IF(AM53&gt;=3,"ok","X"),IF(AM53&gt;=1,IF(AM53&lt;=2,"ok","X"),X)))</f>
        <v/>
      </c>
      <c r="AO53" s="95"/>
      <c r="AP53" s="89"/>
      <c r="AQ53" s="89"/>
      <c r="AR53" s="89"/>
      <c r="AS53" s="89"/>
      <c r="AT53" s="89"/>
      <c r="AU53" s="96"/>
    </row>
    <row r="54" spans="1:47" ht="45" customHeight="1" x14ac:dyDescent="0.2">
      <c r="A54" s="1">
        <v>39</v>
      </c>
      <c r="B54" s="64"/>
      <c r="C54" s="65"/>
      <c r="D54" s="66"/>
      <c r="E54" s="66"/>
      <c r="F54" s="66"/>
      <c r="G54" s="79"/>
      <c r="H54" s="82" t="str">
        <f t="shared" si="0"/>
        <v/>
      </c>
      <c r="I54" s="66" t="str">
        <f t="shared" si="1"/>
        <v/>
      </c>
      <c r="J54" s="66"/>
      <c r="K54" s="83"/>
      <c r="L54" s="81">
        <f t="shared" si="2"/>
        <v>0</v>
      </c>
      <c r="M54" s="67"/>
      <c r="N54" s="68"/>
      <c r="O54" s="68"/>
      <c r="P54" s="69"/>
      <c r="Q54" s="68"/>
      <c r="R54" s="70"/>
      <c r="S54" s="67"/>
      <c r="T54" s="68"/>
      <c r="U54" s="70"/>
      <c r="V54" s="67"/>
      <c r="W54" s="68"/>
      <c r="X54" s="68"/>
      <c r="Y54" s="68"/>
      <c r="Z54" s="68"/>
      <c r="AA54" s="68"/>
      <c r="AB54" s="71"/>
      <c r="AC54" s="72"/>
      <c r="AD54" s="73"/>
      <c r="AE54" s="73"/>
      <c r="AF54" s="71" t="str">
        <f t="shared" si="3"/>
        <v/>
      </c>
      <c r="AG54" s="73"/>
      <c r="AH54" s="71" t="str">
        <f t="shared" si="4"/>
        <v/>
      </c>
      <c r="AI54" s="73"/>
      <c r="AJ54" s="71" t="str">
        <f t="shared" si="5"/>
        <v/>
      </c>
      <c r="AK54" s="73"/>
      <c r="AL54" s="71" t="str">
        <f t="shared" si="6"/>
        <v/>
      </c>
      <c r="AM54" s="73"/>
      <c r="AN54" s="92" t="str" cm="1">
        <f t="array" ref="AN54">IF(AM54="","",IF((F54-G54)&gt;=4,IF(AM54&gt;=3,"ok","X"),IF(AM54&gt;=1,IF(AM54&lt;=2,"ok","X"),X)))</f>
        <v/>
      </c>
      <c r="AO54" s="95"/>
      <c r="AP54" s="89"/>
      <c r="AQ54" s="89"/>
      <c r="AR54" s="89"/>
      <c r="AS54" s="89"/>
      <c r="AT54" s="89"/>
      <c r="AU54" s="96"/>
    </row>
    <row r="55" spans="1:47" ht="45" customHeight="1" x14ac:dyDescent="0.2">
      <c r="A55" s="1">
        <v>40</v>
      </c>
      <c r="B55" s="64"/>
      <c r="C55" s="65"/>
      <c r="D55" s="66"/>
      <c r="E55" s="66"/>
      <c r="F55" s="66"/>
      <c r="G55" s="79"/>
      <c r="H55" s="82" t="str">
        <f t="shared" si="0"/>
        <v/>
      </c>
      <c r="I55" s="66" t="str">
        <f t="shared" si="1"/>
        <v/>
      </c>
      <c r="J55" s="66"/>
      <c r="K55" s="83"/>
      <c r="L55" s="81">
        <f t="shared" si="2"/>
        <v>0</v>
      </c>
      <c r="M55" s="67"/>
      <c r="N55" s="68"/>
      <c r="O55" s="68"/>
      <c r="P55" s="69"/>
      <c r="Q55" s="68"/>
      <c r="R55" s="70"/>
      <c r="S55" s="67"/>
      <c r="T55" s="68"/>
      <c r="U55" s="70"/>
      <c r="V55" s="67"/>
      <c r="W55" s="68"/>
      <c r="X55" s="68"/>
      <c r="Y55" s="68"/>
      <c r="Z55" s="68"/>
      <c r="AA55" s="68"/>
      <c r="AB55" s="71"/>
      <c r="AC55" s="72"/>
      <c r="AD55" s="73"/>
      <c r="AE55" s="73"/>
      <c r="AF55" s="71" t="str">
        <f t="shared" si="3"/>
        <v/>
      </c>
      <c r="AG55" s="73"/>
      <c r="AH55" s="71" t="str">
        <f t="shared" si="4"/>
        <v/>
      </c>
      <c r="AI55" s="73"/>
      <c r="AJ55" s="71" t="str">
        <f t="shared" si="5"/>
        <v/>
      </c>
      <c r="AK55" s="73"/>
      <c r="AL55" s="71" t="str">
        <f t="shared" si="6"/>
        <v/>
      </c>
      <c r="AM55" s="73"/>
      <c r="AN55" s="92" t="str" cm="1">
        <f t="array" ref="AN55">IF(AM55="","",IF((F55-G55)&gt;=4,IF(AM55&gt;=3,"ok","X"),IF(AM55&gt;=1,IF(AM55&lt;=2,"ok","X"),X)))</f>
        <v/>
      </c>
      <c r="AO55" s="95"/>
      <c r="AP55" s="89"/>
      <c r="AQ55" s="89"/>
      <c r="AR55" s="89"/>
      <c r="AS55" s="89"/>
      <c r="AT55" s="89"/>
      <c r="AU55" s="96"/>
    </row>
    <row r="56" spans="1:47" ht="45" customHeight="1" x14ac:dyDescent="0.2">
      <c r="A56" s="1">
        <v>41</v>
      </c>
      <c r="B56" s="64"/>
      <c r="C56" s="65"/>
      <c r="D56" s="66"/>
      <c r="E56" s="66"/>
      <c r="F56" s="66"/>
      <c r="G56" s="79"/>
      <c r="H56" s="82" t="str">
        <f t="shared" si="0"/>
        <v/>
      </c>
      <c r="I56" s="66" t="str">
        <f t="shared" si="1"/>
        <v/>
      </c>
      <c r="J56" s="66"/>
      <c r="K56" s="83"/>
      <c r="L56" s="81">
        <f t="shared" si="2"/>
        <v>0</v>
      </c>
      <c r="M56" s="67"/>
      <c r="N56" s="68"/>
      <c r="O56" s="68"/>
      <c r="P56" s="69"/>
      <c r="Q56" s="68"/>
      <c r="R56" s="70"/>
      <c r="S56" s="67"/>
      <c r="T56" s="68"/>
      <c r="U56" s="70"/>
      <c r="V56" s="67"/>
      <c r="W56" s="68"/>
      <c r="X56" s="68"/>
      <c r="Y56" s="68"/>
      <c r="Z56" s="68"/>
      <c r="AA56" s="68"/>
      <c r="AB56" s="71"/>
      <c r="AC56" s="72"/>
      <c r="AD56" s="73"/>
      <c r="AE56" s="73"/>
      <c r="AF56" s="71" t="str">
        <f t="shared" si="3"/>
        <v/>
      </c>
      <c r="AG56" s="73"/>
      <c r="AH56" s="71" t="str">
        <f t="shared" si="4"/>
        <v/>
      </c>
      <c r="AI56" s="73"/>
      <c r="AJ56" s="71" t="str">
        <f t="shared" si="5"/>
        <v/>
      </c>
      <c r="AK56" s="73"/>
      <c r="AL56" s="71" t="str">
        <f t="shared" si="6"/>
        <v/>
      </c>
      <c r="AM56" s="73"/>
      <c r="AN56" s="92" t="str" cm="1">
        <f t="array" ref="AN56">IF(AM56="","",IF((F56-G56)&gt;=4,IF(AM56&gt;=3,"ok","X"),IF(AM56&gt;=1,IF(AM56&lt;=2,"ok","X"),X)))</f>
        <v/>
      </c>
      <c r="AO56" s="95"/>
      <c r="AP56" s="89"/>
      <c r="AQ56" s="89"/>
      <c r="AR56" s="89"/>
      <c r="AS56" s="89"/>
      <c r="AT56" s="89"/>
      <c r="AU56" s="96"/>
    </row>
    <row r="57" spans="1:47" ht="45" customHeight="1" x14ac:dyDescent="0.2">
      <c r="A57" s="1">
        <v>42</v>
      </c>
      <c r="B57" s="64"/>
      <c r="C57" s="65"/>
      <c r="D57" s="66"/>
      <c r="E57" s="66"/>
      <c r="F57" s="66"/>
      <c r="G57" s="79"/>
      <c r="H57" s="82" t="str">
        <f t="shared" si="0"/>
        <v/>
      </c>
      <c r="I57" s="66" t="str">
        <f t="shared" si="1"/>
        <v/>
      </c>
      <c r="J57" s="66"/>
      <c r="K57" s="83"/>
      <c r="L57" s="81">
        <f t="shared" si="2"/>
        <v>0</v>
      </c>
      <c r="M57" s="67"/>
      <c r="N57" s="68"/>
      <c r="O57" s="68"/>
      <c r="P57" s="69"/>
      <c r="Q57" s="68"/>
      <c r="R57" s="70"/>
      <c r="S57" s="67"/>
      <c r="T57" s="68"/>
      <c r="U57" s="70"/>
      <c r="V57" s="67"/>
      <c r="W57" s="68"/>
      <c r="X57" s="68"/>
      <c r="Y57" s="68"/>
      <c r="Z57" s="68"/>
      <c r="AA57" s="68"/>
      <c r="AB57" s="71"/>
      <c r="AC57" s="72"/>
      <c r="AD57" s="73"/>
      <c r="AE57" s="73"/>
      <c r="AF57" s="71" t="str">
        <f t="shared" si="3"/>
        <v/>
      </c>
      <c r="AG57" s="73"/>
      <c r="AH57" s="71" t="str">
        <f t="shared" si="4"/>
        <v/>
      </c>
      <c r="AI57" s="73"/>
      <c r="AJ57" s="71" t="str">
        <f t="shared" si="5"/>
        <v/>
      </c>
      <c r="AK57" s="73"/>
      <c r="AL57" s="71" t="str">
        <f t="shared" si="6"/>
        <v/>
      </c>
      <c r="AM57" s="73"/>
      <c r="AN57" s="92" t="str" cm="1">
        <f t="array" ref="AN57">IF(AM57="","",IF((F57-G57)&gt;=4,IF(AM57&gt;=3,"ok","X"),IF(AM57&gt;=1,IF(AM57&lt;=2,"ok","X"),X)))</f>
        <v/>
      </c>
      <c r="AO57" s="95"/>
      <c r="AP57" s="89"/>
      <c r="AQ57" s="89"/>
      <c r="AR57" s="89"/>
      <c r="AS57" s="89"/>
      <c r="AT57" s="89"/>
      <c r="AU57" s="96"/>
    </row>
    <row r="58" spans="1:47" ht="45" customHeight="1" x14ac:dyDescent="0.2">
      <c r="A58" s="1">
        <v>43</v>
      </c>
      <c r="B58" s="64"/>
      <c r="C58" s="65"/>
      <c r="D58" s="66"/>
      <c r="E58" s="66"/>
      <c r="F58" s="66"/>
      <c r="G58" s="79"/>
      <c r="H58" s="82" t="str">
        <f t="shared" si="0"/>
        <v/>
      </c>
      <c r="I58" s="66" t="str">
        <f t="shared" si="1"/>
        <v/>
      </c>
      <c r="J58" s="66"/>
      <c r="K58" s="83"/>
      <c r="L58" s="81">
        <f t="shared" si="2"/>
        <v>0</v>
      </c>
      <c r="M58" s="67"/>
      <c r="N58" s="68"/>
      <c r="O58" s="68"/>
      <c r="P58" s="69"/>
      <c r="Q58" s="68"/>
      <c r="R58" s="70"/>
      <c r="S58" s="67"/>
      <c r="T58" s="68"/>
      <c r="U58" s="70"/>
      <c r="V58" s="67"/>
      <c r="W58" s="68"/>
      <c r="X58" s="68"/>
      <c r="Y58" s="68"/>
      <c r="Z58" s="68"/>
      <c r="AA58" s="68"/>
      <c r="AB58" s="71"/>
      <c r="AC58" s="72"/>
      <c r="AD58" s="73"/>
      <c r="AE58" s="73"/>
      <c r="AF58" s="71" t="str">
        <f t="shared" si="3"/>
        <v/>
      </c>
      <c r="AG58" s="73"/>
      <c r="AH58" s="71" t="str">
        <f t="shared" si="4"/>
        <v/>
      </c>
      <c r="AI58" s="73"/>
      <c r="AJ58" s="71" t="str">
        <f t="shared" si="5"/>
        <v/>
      </c>
      <c r="AK58" s="73"/>
      <c r="AL58" s="71" t="str">
        <f t="shared" si="6"/>
        <v/>
      </c>
      <c r="AM58" s="73"/>
      <c r="AN58" s="92" t="str" cm="1">
        <f t="array" ref="AN58">IF(AM58="","",IF((F58-G58)&gt;=4,IF(AM58&gt;=3,"ok","X"),IF(AM58&gt;=1,IF(AM58&lt;=2,"ok","X"),X)))</f>
        <v/>
      </c>
      <c r="AO58" s="95"/>
      <c r="AP58" s="89"/>
      <c r="AQ58" s="89"/>
      <c r="AR58" s="89"/>
      <c r="AS58" s="89"/>
      <c r="AT58" s="89"/>
      <c r="AU58" s="96"/>
    </row>
    <row r="59" spans="1:47" ht="45" customHeight="1" x14ac:dyDescent="0.2">
      <c r="A59" s="1">
        <v>44</v>
      </c>
      <c r="B59" s="64"/>
      <c r="C59" s="65"/>
      <c r="D59" s="66"/>
      <c r="E59" s="66"/>
      <c r="F59" s="66"/>
      <c r="G59" s="79"/>
      <c r="H59" s="82" t="str">
        <f t="shared" si="0"/>
        <v/>
      </c>
      <c r="I59" s="66" t="str">
        <f t="shared" si="1"/>
        <v/>
      </c>
      <c r="J59" s="66"/>
      <c r="K59" s="83"/>
      <c r="L59" s="81">
        <f t="shared" si="2"/>
        <v>0</v>
      </c>
      <c r="M59" s="67"/>
      <c r="N59" s="68"/>
      <c r="O59" s="68"/>
      <c r="P59" s="69"/>
      <c r="Q59" s="68"/>
      <c r="R59" s="70"/>
      <c r="S59" s="67"/>
      <c r="T59" s="68"/>
      <c r="U59" s="70"/>
      <c r="V59" s="67"/>
      <c r="W59" s="68"/>
      <c r="X59" s="68"/>
      <c r="Y59" s="68"/>
      <c r="Z59" s="68"/>
      <c r="AA59" s="68"/>
      <c r="AB59" s="71"/>
      <c r="AC59" s="72"/>
      <c r="AD59" s="73"/>
      <c r="AE59" s="73"/>
      <c r="AF59" s="71" t="str">
        <f t="shared" si="3"/>
        <v/>
      </c>
      <c r="AG59" s="73"/>
      <c r="AH59" s="71" t="str">
        <f t="shared" si="4"/>
        <v/>
      </c>
      <c r="AI59" s="73"/>
      <c r="AJ59" s="71" t="str">
        <f t="shared" si="5"/>
        <v/>
      </c>
      <c r="AK59" s="73"/>
      <c r="AL59" s="71" t="str">
        <f t="shared" si="6"/>
        <v/>
      </c>
      <c r="AM59" s="73"/>
      <c r="AN59" s="92" t="str" cm="1">
        <f t="array" ref="AN59">IF(AM59="","",IF((F59-G59)&gt;=4,IF(AM59&gt;=3,"ok","X"),IF(AM59&gt;=1,IF(AM59&lt;=2,"ok","X"),X)))</f>
        <v/>
      </c>
      <c r="AO59" s="95"/>
      <c r="AP59" s="89"/>
      <c r="AQ59" s="89"/>
      <c r="AR59" s="89"/>
      <c r="AS59" s="89"/>
      <c r="AT59" s="89"/>
      <c r="AU59" s="96"/>
    </row>
    <row r="60" spans="1:47" ht="45" customHeight="1" x14ac:dyDescent="0.2">
      <c r="A60" s="1">
        <v>45</v>
      </c>
      <c r="B60" s="64"/>
      <c r="C60" s="65"/>
      <c r="D60" s="66"/>
      <c r="E60" s="66"/>
      <c r="F60" s="66"/>
      <c r="G60" s="79"/>
      <c r="H60" s="82" t="str">
        <f t="shared" si="0"/>
        <v/>
      </c>
      <c r="I60" s="66" t="str">
        <f t="shared" si="1"/>
        <v/>
      </c>
      <c r="J60" s="66"/>
      <c r="K60" s="83"/>
      <c r="L60" s="81">
        <f t="shared" si="2"/>
        <v>0</v>
      </c>
      <c r="M60" s="67"/>
      <c r="N60" s="68"/>
      <c r="O60" s="68"/>
      <c r="P60" s="69"/>
      <c r="Q60" s="68"/>
      <c r="R60" s="70"/>
      <c r="S60" s="67"/>
      <c r="T60" s="68"/>
      <c r="U60" s="70"/>
      <c r="V60" s="67"/>
      <c r="W60" s="68"/>
      <c r="X60" s="68"/>
      <c r="Y60" s="68"/>
      <c r="Z60" s="68"/>
      <c r="AA60" s="68"/>
      <c r="AB60" s="71"/>
      <c r="AC60" s="72"/>
      <c r="AD60" s="73"/>
      <c r="AE60" s="73"/>
      <c r="AF60" s="71" t="str">
        <f t="shared" si="3"/>
        <v/>
      </c>
      <c r="AG60" s="73"/>
      <c r="AH60" s="71" t="str">
        <f t="shared" si="4"/>
        <v/>
      </c>
      <c r="AI60" s="73"/>
      <c r="AJ60" s="71" t="str">
        <f t="shared" si="5"/>
        <v/>
      </c>
      <c r="AK60" s="73"/>
      <c r="AL60" s="71" t="str">
        <f t="shared" si="6"/>
        <v/>
      </c>
      <c r="AM60" s="73"/>
      <c r="AN60" s="92" t="str" cm="1">
        <f t="array" ref="AN60">IF(AM60="","",IF((F60-G60)&gt;=4,IF(AM60&gt;=3,"ok","X"),IF(AM60&gt;=1,IF(AM60&lt;=2,"ok","X"),X)))</f>
        <v/>
      </c>
      <c r="AO60" s="95"/>
      <c r="AP60" s="89"/>
      <c r="AQ60" s="89"/>
      <c r="AR60" s="89"/>
      <c r="AS60" s="89"/>
      <c r="AT60" s="89"/>
      <c r="AU60" s="96"/>
    </row>
    <row r="61" spans="1:47" ht="45" customHeight="1" x14ac:dyDescent="0.2">
      <c r="A61" s="1">
        <v>46</v>
      </c>
      <c r="B61" s="64"/>
      <c r="C61" s="65"/>
      <c r="D61" s="66"/>
      <c r="E61" s="66"/>
      <c r="F61" s="66"/>
      <c r="G61" s="79"/>
      <c r="H61" s="82" t="str">
        <f t="shared" si="0"/>
        <v/>
      </c>
      <c r="I61" s="66" t="str">
        <f t="shared" si="1"/>
        <v/>
      </c>
      <c r="J61" s="66"/>
      <c r="K61" s="83"/>
      <c r="L61" s="81">
        <f t="shared" si="2"/>
        <v>0</v>
      </c>
      <c r="M61" s="67"/>
      <c r="N61" s="68"/>
      <c r="O61" s="68"/>
      <c r="P61" s="69"/>
      <c r="Q61" s="68"/>
      <c r="R61" s="70"/>
      <c r="S61" s="67"/>
      <c r="T61" s="68"/>
      <c r="U61" s="70"/>
      <c r="V61" s="67"/>
      <c r="W61" s="68"/>
      <c r="X61" s="68"/>
      <c r="Y61" s="68"/>
      <c r="Z61" s="68"/>
      <c r="AA61" s="68"/>
      <c r="AB61" s="71"/>
      <c r="AC61" s="72"/>
      <c r="AD61" s="73"/>
      <c r="AE61" s="73"/>
      <c r="AF61" s="71" t="str">
        <f t="shared" si="3"/>
        <v/>
      </c>
      <c r="AG61" s="73"/>
      <c r="AH61" s="71" t="str">
        <f t="shared" si="4"/>
        <v/>
      </c>
      <c r="AI61" s="73"/>
      <c r="AJ61" s="71" t="str">
        <f t="shared" si="5"/>
        <v/>
      </c>
      <c r="AK61" s="73"/>
      <c r="AL61" s="71" t="str">
        <f t="shared" si="6"/>
        <v/>
      </c>
      <c r="AM61" s="73"/>
      <c r="AN61" s="92" t="str" cm="1">
        <f t="array" ref="AN61">IF(AM61="","",IF((F61-G61)&gt;=4,IF(AM61&gt;=3,"ok","X"),IF(AM61&gt;=1,IF(AM61&lt;=2,"ok","X"),X)))</f>
        <v/>
      </c>
      <c r="AO61" s="95"/>
      <c r="AP61" s="89"/>
      <c r="AQ61" s="89"/>
      <c r="AR61" s="89"/>
      <c r="AS61" s="89"/>
      <c r="AT61" s="89"/>
      <c r="AU61" s="96"/>
    </row>
    <row r="62" spans="1:47" ht="45" customHeight="1" x14ac:dyDescent="0.2">
      <c r="A62" s="1">
        <v>47</v>
      </c>
      <c r="B62" s="64"/>
      <c r="C62" s="65"/>
      <c r="D62" s="66"/>
      <c r="E62" s="66"/>
      <c r="F62" s="66"/>
      <c r="G62" s="79"/>
      <c r="H62" s="82" t="str">
        <f t="shared" si="0"/>
        <v/>
      </c>
      <c r="I62" s="66" t="str">
        <f t="shared" si="1"/>
        <v/>
      </c>
      <c r="J62" s="66"/>
      <c r="K62" s="83"/>
      <c r="L62" s="81">
        <f t="shared" si="2"/>
        <v>0</v>
      </c>
      <c r="M62" s="67"/>
      <c r="N62" s="68"/>
      <c r="O62" s="68"/>
      <c r="P62" s="69"/>
      <c r="Q62" s="68"/>
      <c r="R62" s="70"/>
      <c r="S62" s="67"/>
      <c r="T62" s="68"/>
      <c r="U62" s="70"/>
      <c r="V62" s="67"/>
      <c r="W62" s="68"/>
      <c r="X62" s="68"/>
      <c r="Y62" s="68"/>
      <c r="Z62" s="68"/>
      <c r="AA62" s="68"/>
      <c r="AB62" s="71"/>
      <c r="AC62" s="72"/>
      <c r="AD62" s="73"/>
      <c r="AE62" s="73"/>
      <c r="AF62" s="71" t="str">
        <f t="shared" si="3"/>
        <v/>
      </c>
      <c r="AG62" s="73"/>
      <c r="AH62" s="71" t="str">
        <f t="shared" si="4"/>
        <v/>
      </c>
      <c r="AI62" s="73"/>
      <c r="AJ62" s="71" t="str">
        <f t="shared" si="5"/>
        <v/>
      </c>
      <c r="AK62" s="73"/>
      <c r="AL62" s="71" t="str">
        <f t="shared" si="6"/>
        <v/>
      </c>
      <c r="AM62" s="73"/>
      <c r="AN62" s="92" t="str" cm="1">
        <f t="array" ref="AN62">IF(AM62="","",IF((F62-G62)&gt;=4,IF(AM62&gt;=3,"ok","X"),IF(AM62&gt;=1,IF(AM62&lt;=2,"ok","X"),X)))</f>
        <v/>
      </c>
      <c r="AO62" s="95"/>
      <c r="AP62" s="89"/>
      <c r="AQ62" s="89"/>
      <c r="AR62" s="89"/>
      <c r="AS62" s="89"/>
      <c r="AT62" s="89"/>
      <c r="AU62" s="96"/>
    </row>
    <row r="63" spans="1:47" ht="45" customHeight="1" x14ac:dyDescent="0.2">
      <c r="A63" s="1">
        <v>48</v>
      </c>
      <c r="B63" s="64"/>
      <c r="C63" s="65"/>
      <c r="D63" s="66"/>
      <c r="E63" s="66"/>
      <c r="F63" s="66"/>
      <c r="G63" s="79"/>
      <c r="H63" s="82" t="str">
        <f t="shared" si="0"/>
        <v/>
      </c>
      <c r="I63" s="66" t="str">
        <f t="shared" si="1"/>
        <v/>
      </c>
      <c r="J63" s="66"/>
      <c r="K63" s="83"/>
      <c r="L63" s="81">
        <f t="shared" si="2"/>
        <v>0</v>
      </c>
      <c r="M63" s="67"/>
      <c r="N63" s="68"/>
      <c r="O63" s="68"/>
      <c r="P63" s="69"/>
      <c r="Q63" s="68"/>
      <c r="R63" s="70"/>
      <c r="S63" s="67"/>
      <c r="T63" s="68"/>
      <c r="U63" s="70"/>
      <c r="V63" s="67"/>
      <c r="W63" s="68"/>
      <c r="X63" s="68"/>
      <c r="Y63" s="68"/>
      <c r="Z63" s="68"/>
      <c r="AA63" s="68"/>
      <c r="AB63" s="71"/>
      <c r="AC63" s="72"/>
      <c r="AD63" s="73"/>
      <c r="AE63" s="73"/>
      <c r="AF63" s="71" t="str">
        <f t="shared" si="3"/>
        <v/>
      </c>
      <c r="AG63" s="73"/>
      <c r="AH63" s="71" t="str">
        <f t="shared" si="4"/>
        <v/>
      </c>
      <c r="AI63" s="73"/>
      <c r="AJ63" s="71" t="str">
        <f t="shared" si="5"/>
        <v/>
      </c>
      <c r="AK63" s="73"/>
      <c r="AL63" s="71" t="str">
        <f t="shared" si="6"/>
        <v/>
      </c>
      <c r="AM63" s="73"/>
      <c r="AN63" s="92" t="str" cm="1">
        <f t="array" ref="AN63">IF(AM63="","",IF((F63-G63)&gt;=4,IF(AM63&gt;=3,"ok","X"),IF(AM63&gt;=1,IF(AM63&lt;=2,"ok","X"),X)))</f>
        <v/>
      </c>
      <c r="AO63" s="95"/>
      <c r="AP63" s="89"/>
      <c r="AQ63" s="89"/>
      <c r="AR63" s="89"/>
      <c r="AS63" s="89"/>
      <c r="AT63" s="89"/>
      <c r="AU63" s="96"/>
    </row>
    <row r="64" spans="1:47" ht="45" customHeight="1" x14ac:dyDescent="0.2">
      <c r="A64" s="1">
        <v>49</v>
      </c>
      <c r="B64" s="64"/>
      <c r="C64" s="65"/>
      <c r="D64" s="66"/>
      <c r="E64" s="66"/>
      <c r="F64" s="66"/>
      <c r="G64" s="79"/>
      <c r="H64" s="82" t="str">
        <f t="shared" si="0"/>
        <v/>
      </c>
      <c r="I64" s="66" t="str">
        <f t="shared" si="1"/>
        <v/>
      </c>
      <c r="J64" s="66"/>
      <c r="K64" s="83"/>
      <c r="L64" s="81">
        <f t="shared" si="2"/>
        <v>0</v>
      </c>
      <c r="M64" s="67"/>
      <c r="N64" s="68"/>
      <c r="O64" s="68"/>
      <c r="P64" s="69"/>
      <c r="Q64" s="68"/>
      <c r="R64" s="70"/>
      <c r="S64" s="67"/>
      <c r="T64" s="68"/>
      <c r="U64" s="70"/>
      <c r="V64" s="67"/>
      <c r="W64" s="68"/>
      <c r="X64" s="68"/>
      <c r="Y64" s="68"/>
      <c r="Z64" s="68"/>
      <c r="AA64" s="68"/>
      <c r="AB64" s="71"/>
      <c r="AC64" s="72"/>
      <c r="AD64" s="73"/>
      <c r="AE64" s="73"/>
      <c r="AF64" s="71" t="str">
        <f t="shared" si="3"/>
        <v/>
      </c>
      <c r="AG64" s="73"/>
      <c r="AH64" s="71" t="str">
        <f t="shared" si="4"/>
        <v/>
      </c>
      <c r="AI64" s="73"/>
      <c r="AJ64" s="71" t="str">
        <f t="shared" si="5"/>
        <v/>
      </c>
      <c r="AK64" s="73"/>
      <c r="AL64" s="71" t="str">
        <f t="shared" si="6"/>
        <v/>
      </c>
      <c r="AM64" s="73"/>
      <c r="AN64" s="92" t="str" cm="1">
        <f t="array" ref="AN64">IF(AM64="","",IF((F64-G64)&gt;=4,IF(AM64&gt;=3,"ok","X"),IF(AM64&gt;=1,IF(AM64&lt;=2,"ok","X"),X)))</f>
        <v/>
      </c>
      <c r="AO64" s="95"/>
      <c r="AP64" s="89"/>
      <c r="AQ64" s="89"/>
      <c r="AR64" s="89"/>
      <c r="AS64" s="89"/>
      <c r="AT64" s="89"/>
      <c r="AU64" s="96"/>
    </row>
    <row r="65" spans="1:47" ht="45" customHeight="1" x14ac:dyDescent="0.2">
      <c r="A65" s="1">
        <v>50</v>
      </c>
      <c r="B65" s="64"/>
      <c r="C65" s="65"/>
      <c r="D65" s="66"/>
      <c r="E65" s="66"/>
      <c r="F65" s="66"/>
      <c r="G65" s="79"/>
      <c r="H65" s="82" t="str">
        <f t="shared" si="0"/>
        <v/>
      </c>
      <c r="I65" s="66" t="str">
        <f t="shared" si="1"/>
        <v/>
      </c>
      <c r="J65" s="66"/>
      <c r="K65" s="83"/>
      <c r="L65" s="81">
        <f t="shared" si="2"/>
        <v>0</v>
      </c>
      <c r="M65" s="67"/>
      <c r="N65" s="68"/>
      <c r="O65" s="68"/>
      <c r="P65" s="69"/>
      <c r="Q65" s="68"/>
      <c r="R65" s="70"/>
      <c r="S65" s="67"/>
      <c r="T65" s="68"/>
      <c r="U65" s="70"/>
      <c r="V65" s="67"/>
      <c r="W65" s="68"/>
      <c r="X65" s="68"/>
      <c r="Y65" s="68"/>
      <c r="Z65" s="68"/>
      <c r="AA65" s="68"/>
      <c r="AB65" s="71"/>
      <c r="AC65" s="72"/>
      <c r="AD65" s="73"/>
      <c r="AE65" s="73"/>
      <c r="AF65" s="71" t="str">
        <f t="shared" si="3"/>
        <v/>
      </c>
      <c r="AG65" s="73"/>
      <c r="AH65" s="71" t="str">
        <f t="shared" si="4"/>
        <v/>
      </c>
      <c r="AI65" s="73"/>
      <c r="AJ65" s="71" t="str">
        <f t="shared" si="5"/>
        <v/>
      </c>
      <c r="AK65" s="73"/>
      <c r="AL65" s="71" t="str">
        <f t="shared" si="6"/>
        <v/>
      </c>
      <c r="AM65" s="73"/>
      <c r="AN65" s="92" t="str" cm="1">
        <f t="array" ref="AN65">IF(AM65="","",IF((F65-G65)&gt;=4,IF(AM65&gt;=3,"ok","X"),IF(AM65&gt;=1,IF(AM65&lt;=2,"ok","X"),X)))</f>
        <v/>
      </c>
      <c r="AO65" s="95"/>
      <c r="AP65" s="89"/>
      <c r="AQ65" s="89"/>
      <c r="AR65" s="89"/>
      <c r="AS65" s="89"/>
      <c r="AT65" s="89"/>
      <c r="AU65" s="96"/>
    </row>
    <row r="66" spans="1:47" ht="45" customHeight="1" x14ac:dyDescent="0.2">
      <c r="A66" s="1">
        <v>51</v>
      </c>
      <c r="B66" s="64"/>
      <c r="C66" s="65"/>
      <c r="D66" s="66"/>
      <c r="E66" s="66"/>
      <c r="F66" s="66"/>
      <c r="G66" s="79"/>
      <c r="H66" s="82" t="str">
        <f t="shared" si="0"/>
        <v/>
      </c>
      <c r="I66" s="66" t="str">
        <f t="shared" si="1"/>
        <v/>
      </c>
      <c r="J66" s="66"/>
      <c r="K66" s="83"/>
      <c r="L66" s="81">
        <f t="shared" si="2"/>
        <v>0</v>
      </c>
      <c r="M66" s="67"/>
      <c r="N66" s="68"/>
      <c r="O66" s="68"/>
      <c r="P66" s="69"/>
      <c r="Q66" s="68"/>
      <c r="R66" s="70"/>
      <c r="S66" s="67"/>
      <c r="T66" s="68"/>
      <c r="U66" s="70"/>
      <c r="V66" s="67"/>
      <c r="W66" s="68"/>
      <c r="X66" s="68"/>
      <c r="Y66" s="68"/>
      <c r="Z66" s="68"/>
      <c r="AA66" s="68"/>
      <c r="AB66" s="71"/>
      <c r="AC66" s="72"/>
      <c r="AD66" s="73"/>
      <c r="AE66" s="73"/>
      <c r="AF66" s="71" t="str">
        <f t="shared" si="3"/>
        <v/>
      </c>
      <c r="AG66" s="73"/>
      <c r="AH66" s="71" t="str">
        <f t="shared" si="4"/>
        <v/>
      </c>
      <c r="AI66" s="73"/>
      <c r="AJ66" s="71" t="str">
        <f t="shared" si="5"/>
        <v/>
      </c>
      <c r="AK66" s="73"/>
      <c r="AL66" s="71" t="str">
        <f t="shared" si="6"/>
        <v/>
      </c>
      <c r="AM66" s="73"/>
      <c r="AN66" s="92" t="str" cm="1">
        <f t="array" ref="AN66">IF(AM66="","",IF((F66-G66)&gt;=4,IF(AM66&gt;=3,"ok","X"),IF(AM66&gt;=1,IF(AM66&lt;=2,"ok","X"),X)))</f>
        <v/>
      </c>
      <c r="AO66" s="95"/>
      <c r="AP66" s="89"/>
      <c r="AQ66" s="89"/>
      <c r="AR66" s="89"/>
      <c r="AS66" s="89"/>
      <c r="AT66" s="89"/>
      <c r="AU66" s="96"/>
    </row>
    <row r="67" spans="1:47" ht="45" customHeight="1" x14ac:dyDescent="0.2">
      <c r="A67" s="1">
        <v>52</v>
      </c>
      <c r="B67" s="64"/>
      <c r="C67" s="65"/>
      <c r="D67" s="66"/>
      <c r="E67" s="66"/>
      <c r="F67" s="66"/>
      <c r="G67" s="79"/>
      <c r="H67" s="82" t="str">
        <f t="shared" si="0"/>
        <v/>
      </c>
      <c r="I67" s="66" t="str">
        <f t="shared" si="1"/>
        <v/>
      </c>
      <c r="J67" s="66"/>
      <c r="K67" s="83"/>
      <c r="L67" s="81">
        <f t="shared" si="2"/>
        <v>0</v>
      </c>
      <c r="M67" s="67"/>
      <c r="N67" s="68"/>
      <c r="O67" s="68"/>
      <c r="P67" s="69"/>
      <c r="Q67" s="68"/>
      <c r="R67" s="70"/>
      <c r="S67" s="67"/>
      <c r="T67" s="68"/>
      <c r="U67" s="70"/>
      <c r="V67" s="67"/>
      <c r="W67" s="68"/>
      <c r="X67" s="68"/>
      <c r="Y67" s="68"/>
      <c r="Z67" s="68"/>
      <c r="AA67" s="68"/>
      <c r="AB67" s="71"/>
      <c r="AC67" s="72"/>
      <c r="AD67" s="73"/>
      <c r="AE67" s="73"/>
      <c r="AF67" s="71" t="str">
        <f t="shared" si="3"/>
        <v/>
      </c>
      <c r="AG67" s="73"/>
      <c r="AH67" s="71" t="str">
        <f t="shared" si="4"/>
        <v/>
      </c>
      <c r="AI67" s="73"/>
      <c r="AJ67" s="71" t="str">
        <f t="shared" si="5"/>
        <v/>
      </c>
      <c r="AK67" s="73"/>
      <c r="AL67" s="71" t="str">
        <f t="shared" si="6"/>
        <v/>
      </c>
      <c r="AM67" s="73"/>
      <c r="AN67" s="92" t="str" cm="1">
        <f t="array" ref="AN67">IF(AM67="","",IF((F67-G67)&gt;=4,IF(AM67&gt;=3,"ok","X"),IF(AM67&gt;=1,IF(AM67&lt;=2,"ok","X"),X)))</f>
        <v/>
      </c>
      <c r="AO67" s="95"/>
      <c r="AP67" s="89"/>
      <c r="AQ67" s="89"/>
      <c r="AR67" s="89"/>
      <c r="AS67" s="89"/>
      <c r="AT67" s="89"/>
      <c r="AU67" s="96"/>
    </row>
    <row r="68" spans="1:47" ht="45" customHeight="1" x14ac:dyDescent="0.2">
      <c r="A68" s="1">
        <v>53</v>
      </c>
      <c r="B68" s="64"/>
      <c r="C68" s="65"/>
      <c r="D68" s="66"/>
      <c r="E68" s="66"/>
      <c r="F68" s="66"/>
      <c r="G68" s="79"/>
      <c r="H68" s="82" t="str">
        <f t="shared" si="0"/>
        <v/>
      </c>
      <c r="I68" s="66" t="str">
        <f t="shared" si="1"/>
        <v/>
      </c>
      <c r="J68" s="66"/>
      <c r="K68" s="83"/>
      <c r="L68" s="81">
        <f t="shared" si="2"/>
        <v>0</v>
      </c>
      <c r="M68" s="67"/>
      <c r="N68" s="68"/>
      <c r="O68" s="68"/>
      <c r="P68" s="69"/>
      <c r="Q68" s="68"/>
      <c r="R68" s="70"/>
      <c r="S68" s="67"/>
      <c r="T68" s="68"/>
      <c r="U68" s="70"/>
      <c r="V68" s="67"/>
      <c r="W68" s="68"/>
      <c r="X68" s="68"/>
      <c r="Y68" s="68"/>
      <c r="Z68" s="68"/>
      <c r="AA68" s="68"/>
      <c r="AB68" s="71"/>
      <c r="AC68" s="72"/>
      <c r="AD68" s="73"/>
      <c r="AE68" s="73"/>
      <c r="AF68" s="71" t="str">
        <f t="shared" si="3"/>
        <v/>
      </c>
      <c r="AG68" s="73"/>
      <c r="AH68" s="71" t="str">
        <f t="shared" si="4"/>
        <v/>
      </c>
      <c r="AI68" s="73"/>
      <c r="AJ68" s="71" t="str">
        <f t="shared" si="5"/>
        <v/>
      </c>
      <c r="AK68" s="73"/>
      <c r="AL68" s="71" t="str">
        <f t="shared" si="6"/>
        <v/>
      </c>
      <c r="AM68" s="73"/>
      <c r="AN68" s="92" t="str" cm="1">
        <f t="array" ref="AN68">IF(AM68="","",IF((F68-G68)&gt;=4,IF(AM68&gt;=3,"ok","X"),IF(AM68&gt;=1,IF(AM68&lt;=2,"ok","X"),X)))</f>
        <v/>
      </c>
      <c r="AO68" s="95"/>
      <c r="AP68" s="89"/>
      <c r="AQ68" s="89"/>
      <c r="AR68" s="89"/>
      <c r="AS68" s="89"/>
      <c r="AT68" s="89"/>
      <c r="AU68" s="96"/>
    </row>
    <row r="69" spans="1:47" ht="45" customHeight="1" x14ac:dyDescent="0.2">
      <c r="A69" s="1">
        <v>54</v>
      </c>
      <c r="B69" s="64"/>
      <c r="C69" s="65"/>
      <c r="D69" s="66"/>
      <c r="E69" s="66"/>
      <c r="F69" s="66"/>
      <c r="G69" s="79"/>
      <c r="H69" s="82" t="str">
        <f t="shared" si="0"/>
        <v/>
      </c>
      <c r="I69" s="66" t="str">
        <f t="shared" si="1"/>
        <v/>
      </c>
      <c r="J69" s="66"/>
      <c r="K69" s="83"/>
      <c r="L69" s="81">
        <f t="shared" si="2"/>
        <v>0</v>
      </c>
      <c r="M69" s="67"/>
      <c r="N69" s="68"/>
      <c r="O69" s="68"/>
      <c r="P69" s="69"/>
      <c r="Q69" s="68"/>
      <c r="R69" s="70"/>
      <c r="S69" s="67"/>
      <c r="T69" s="68"/>
      <c r="U69" s="70"/>
      <c r="V69" s="67"/>
      <c r="W69" s="68"/>
      <c r="X69" s="68"/>
      <c r="Y69" s="68"/>
      <c r="Z69" s="68"/>
      <c r="AA69" s="68"/>
      <c r="AB69" s="71"/>
      <c r="AC69" s="72"/>
      <c r="AD69" s="73"/>
      <c r="AE69" s="73"/>
      <c r="AF69" s="71" t="str">
        <f t="shared" si="3"/>
        <v/>
      </c>
      <c r="AG69" s="73"/>
      <c r="AH69" s="71" t="str">
        <f t="shared" si="4"/>
        <v/>
      </c>
      <c r="AI69" s="73"/>
      <c r="AJ69" s="71" t="str">
        <f t="shared" si="5"/>
        <v/>
      </c>
      <c r="AK69" s="73"/>
      <c r="AL69" s="71" t="str">
        <f t="shared" si="6"/>
        <v/>
      </c>
      <c r="AM69" s="73"/>
      <c r="AN69" s="92" t="str" cm="1">
        <f t="array" ref="AN69">IF(AM69="","",IF((F69-G69)&gt;=4,IF(AM69&gt;=3,"ok","X"),IF(AM69&gt;=1,IF(AM69&lt;=2,"ok","X"),X)))</f>
        <v/>
      </c>
      <c r="AO69" s="95"/>
      <c r="AP69" s="89"/>
      <c r="AQ69" s="89"/>
      <c r="AR69" s="89"/>
      <c r="AS69" s="89"/>
      <c r="AT69" s="89"/>
      <c r="AU69" s="96"/>
    </row>
    <row r="70" spans="1:47" ht="45" customHeight="1" x14ac:dyDescent="0.2">
      <c r="A70" s="1">
        <v>55</v>
      </c>
      <c r="B70" s="64"/>
      <c r="C70" s="65"/>
      <c r="D70" s="66"/>
      <c r="E70" s="66"/>
      <c r="F70" s="66"/>
      <c r="G70" s="79"/>
      <c r="H70" s="82" t="str">
        <f t="shared" si="0"/>
        <v/>
      </c>
      <c r="I70" s="66" t="str">
        <f t="shared" si="1"/>
        <v/>
      </c>
      <c r="J70" s="66"/>
      <c r="K70" s="83"/>
      <c r="L70" s="81">
        <f t="shared" si="2"/>
        <v>0</v>
      </c>
      <c r="M70" s="67"/>
      <c r="N70" s="68"/>
      <c r="O70" s="68"/>
      <c r="P70" s="69"/>
      <c r="Q70" s="68"/>
      <c r="R70" s="70"/>
      <c r="S70" s="67"/>
      <c r="T70" s="68"/>
      <c r="U70" s="70"/>
      <c r="V70" s="67"/>
      <c r="W70" s="68"/>
      <c r="X70" s="68"/>
      <c r="Y70" s="68"/>
      <c r="Z70" s="68"/>
      <c r="AA70" s="68"/>
      <c r="AB70" s="71"/>
      <c r="AC70" s="72"/>
      <c r="AD70" s="73"/>
      <c r="AE70" s="73"/>
      <c r="AF70" s="71" t="str">
        <f t="shared" si="3"/>
        <v/>
      </c>
      <c r="AG70" s="73"/>
      <c r="AH70" s="71" t="str">
        <f t="shared" si="4"/>
        <v/>
      </c>
      <c r="AI70" s="73"/>
      <c r="AJ70" s="71" t="str">
        <f t="shared" si="5"/>
        <v/>
      </c>
      <c r="AK70" s="73"/>
      <c r="AL70" s="71" t="str">
        <f t="shared" si="6"/>
        <v/>
      </c>
      <c r="AM70" s="73"/>
      <c r="AN70" s="92" t="str" cm="1">
        <f t="array" ref="AN70">IF(AM70="","",IF((F70-G70)&gt;=4,IF(AM70&gt;=3,"ok","X"),IF(AM70&gt;=1,IF(AM70&lt;=2,"ok","X"),X)))</f>
        <v/>
      </c>
      <c r="AO70" s="95"/>
      <c r="AP70" s="89"/>
      <c r="AQ70" s="89"/>
      <c r="AR70" s="89"/>
      <c r="AS70" s="89"/>
      <c r="AT70" s="89"/>
      <c r="AU70" s="96"/>
    </row>
    <row r="71" spans="1:47" ht="45" customHeight="1" x14ac:dyDescent="0.2">
      <c r="A71" s="1">
        <v>56</v>
      </c>
      <c r="B71" s="64"/>
      <c r="C71" s="65"/>
      <c r="D71" s="66"/>
      <c r="E71" s="66"/>
      <c r="F71" s="66"/>
      <c r="G71" s="79"/>
      <c r="H71" s="82" t="str">
        <f t="shared" si="0"/>
        <v/>
      </c>
      <c r="I71" s="66" t="str">
        <f t="shared" si="1"/>
        <v/>
      </c>
      <c r="J71" s="66"/>
      <c r="K71" s="83"/>
      <c r="L71" s="81">
        <f t="shared" si="2"/>
        <v>0</v>
      </c>
      <c r="M71" s="67"/>
      <c r="N71" s="68"/>
      <c r="O71" s="68"/>
      <c r="P71" s="69"/>
      <c r="Q71" s="68"/>
      <c r="R71" s="70"/>
      <c r="S71" s="67"/>
      <c r="T71" s="68"/>
      <c r="U71" s="70"/>
      <c r="V71" s="67"/>
      <c r="W71" s="68"/>
      <c r="X71" s="68"/>
      <c r="Y71" s="68"/>
      <c r="Z71" s="68"/>
      <c r="AA71" s="68"/>
      <c r="AB71" s="71"/>
      <c r="AC71" s="72"/>
      <c r="AD71" s="73"/>
      <c r="AE71" s="73"/>
      <c r="AF71" s="71" t="str">
        <f t="shared" si="3"/>
        <v/>
      </c>
      <c r="AG71" s="73"/>
      <c r="AH71" s="71" t="str">
        <f t="shared" si="4"/>
        <v/>
      </c>
      <c r="AI71" s="73"/>
      <c r="AJ71" s="71" t="str">
        <f t="shared" si="5"/>
        <v/>
      </c>
      <c r="AK71" s="73"/>
      <c r="AL71" s="71" t="str">
        <f t="shared" si="6"/>
        <v/>
      </c>
      <c r="AM71" s="73"/>
      <c r="AN71" s="92" t="str" cm="1">
        <f t="array" ref="AN71">IF(AM71="","",IF((F71-G71)&gt;=4,IF(AM71&gt;=3,"ok","X"),IF(AM71&gt;=1,IF(AM71&lt;=2,"ok","X"),X)))</f>
        <v/>
      </c>
      <c r="AO71" s="95"/>
      <c r="AP71" s="89"/>
      <c r="AQ71" s="89"/>
      <c r="AR71" s="89"/>
      <c r="AS71" s="89"/>
      <c r="AT71" s="89"/>
      <c r="AU71" s="96"/>
    </row>
    <row r="72" spans="1:47" ht="45" customHeight="1" x14ac:dyDescent="0.2">
      <c r="A72" s="1">
        <v>57</v>
      </c>
      <c r="B72" s="64"/>
      <c r="C72" s="65"/>
      <c r="D72" s="66"/>
      <c r="E72" s="66"/>
      <c r="F72" s="66"/>
      <c r="G72" s="79"/>
      <c r="H72" s="82" t="str">
        <f t="shared" si="0"/>
        <v/>
      </c>
      <c r="I72" s="66" t="str">
        <f t="shared" si="1"/>
        <v/>
      </c>
      <c r="J72" s="66"/>
      <c r="K72" s="83"/>
      <c r="L72" s="81">
        <f t="shared" si="2"/>
        <v>0</v>
      </c>
      <c r="M72" s="67"/>
      <c r="N72" s="68"/>
      <c r="O72" s="68"/>
      <c r="P72" s="69"/>
      <c r="Q72" s="68"/>
      <c r="R72" s="70"/>
      <c r="S72" s="67"/>
      <c r="T72" s="68"/>
      <c r="U72" s="70"/>
      <c r="V72" s="67"/>
      <c r="W72" s="68"/>
      <c r="X72" s="68"/>
      <c r="Y72" s="68"/>
      <c r="Z72" s="68"/>
      <c r="AA72" s="68"/>
      <c r="AB72" s="71"/>
      <c r="AC72" s="72"/>
      <c r="AD72" s="73"/>
      <c r="AE72" s="73"/>
      <c r="AF72" s="71" t="str">
        <f t="shared" si="3"/>
        <v/>
      </c>
      <c r="AG72" s="73"/>
      <c r="AH72" s="71" t="str">
        <f t="shared" si="4"/>
        <v/>
      </c>
      <c r="AI72" s="73"/>
      <c r="AJ72" s="71" t="str">
        <f t="shared" si="5"/>
        <v/>
      </c>
      <c r="AK72" s="73"/>
      <c r="AL72" s="71" t="str">
        <f t="shared" si="6"/>
        <v/>
      </c>
      <c r="AM72" s="73"/>
      <c r="AN72" s="92" t="str" cm="1">
        <f t="array" ref="AN72">IF(AM72="","",IF((F72-G72)&gt;=4,IF(AM72&gt;=3,"ok","X"),IF(AM72&gt;=1,IF(AM72&lt;=2,"ok","X"),X)))</f>
        <v/>
      </c>
      <c r="AO72" s="95"/>
      <c r="AP72" s="89"/>
      <c r="AQ72" s="89"/>
      <c r="AR72" s="89"/>
      <c r="AS72" s="89"/>
      <c r="AT72" s="89"/>
      <c r="AU72" s="96"/>
    </row>
    <row r="73" spans="1:47" ht="45" customHeight="1" x14ac:dyDescent="0.2">
      <c r="A73" s="1">
        <v>58</v>
      </c>
      <c r="B73" s="64"/>
      <c r="C73" s="65"/>
      <c r="D73" s="66"/>
      <c r="E73" s="66"/>
      <c r="F73" s="66"/>
      <c r="G73" s="79"/>
      <c r="H73" s="82" t="str">
        <f t="shared" si="0"/>
        <v/>
      </c>
      <c r="I73" s="66" t="str">
        <f t="shared" si="1"/>
        <v/>
      </c>
      <c r="J73" s="66"/>
      <c r="K73" s="83"/>
      <c r="L73" s="81">
        <f t="shared" si="2"/>
        <v>0</v>
      </c>
      <c r="M73" s="67"/>
      <c r="N73" s="68"/>
      <c r="O73" s="68"/>
      <c r="P73" s="69"/>
      <c r="Q73" s="68"/>
      <c r="R73" s="70"/>
      <c r="S73" s="67"/>
      <c r="T73" s="68"/>
      <c r="U73" s="70"/>
      <c r="V73" s="67"/>
      <c r="W73" s="68"/>
      <c r="X73" s="68"/>
      <c r="Y73" s="68"/>
      <c r="Z73" s="68"/>
      <c r="AA73" s="68"/>
      <c r="AB73" s="71"/>
      <c r="AC73" s="72"/>
      <c r="AD73" s="73"/>
      <c r="AE73" s="73"/>
      <c r="AF73" s="71" t="str">
        <f t="shared" si="3"/>
        <v/>
      </c>
      <c r="AG73" s="73"/>
      <c r="AH73" s="71" t="str">
        <f t="shared" si="4"/>
        <v/>
      </c>
      <c r="AI73" s="73"/>
      <c r="AJ73" s="71" t="str">
        <f t="shared" si="5"/>
        <v/>
      </c>
      <c r="AK73" s="73"/>
      <c r="AL73" s="71" t="str">
        <f t="shared" si="6"/>
        <v/>
      </c>
      <c r="AM73" s="73"/>
      <c r="AN73" s="92" t="str" cm="1">
        <f t="array" ref="AN73">IF(AM73="","",IF((F73-G73)&gt;=4,IF(AM73&gt;=3,"ok","X"),IF(AM73&gt;=1,IF(AM73&lt;=2,"ok","X"),X)))</f>
        <v/>
      </c>
      <c r="AO73" s="95"/>
      <c r="AP73" s="89"/>
      <c r="AQ73" s="89"/>
      <c r="AR73" s="89"/>
      <c r="AS73" s="89"/>
      <c r="AT73" s="89"/>
      <c r="AU73" s="96"/>
    </row>
    <row r="74" spans="1:47" ht="45" customHeight="1" x14ac:dyDescent="0.2">
      <c r="A74" s="1">
        <v>59</v>
      </c>
      <c r="B74" s="64"/>
      <c r="C74" s="65"/>
      <c r="D74" s="66"/>
      <c r="E74" s="66"/>
      <c r="F74" s="66"/>
      <c r="G74" s="79"/>
      <c r="H74" s="82" t="str">
        <f t="shared" si="0"/>
        <v/>
      </c>
      <c r="I74" s="66" t="str">
        <f t="shared" si="1"/>
        <v/>
      </c>
      <c r="J74" s="66"/>
      <c r="K74" s="83"/>
      <c r="L74" s="81">
        <f t="shared" si="2"/>
        <v>0</v>
      </c>
      <c r="M74" s="67"/>
      <c r="N74" s="68"/>
      <c r="O74" s="68"/>
      <c r="P74" s="69"/>
      <c r="Q74" s="68"/>
      <c r="R74" s="70"/>
      <c r="S74" s="67"/>
      <c r="T74" s="68"/>
      <c r="U74" s="70"/>
      <c r="V74" s="67"/>
      <c r="W74" s="68"/>
      <c r="X74" s="68"/>
      <c r="Y74" s="68"/>
      <c r="Z74" s="68"/>
      <c r="AA74" s="68"/>
      <c r="AB74" s="71"/>
      <c r="AC74" s="72"/>
      <c r="AD74" s="73"/>
      <c r="AE74" s="73"/>
      <c r="AF74" s="71" t="str">
        <f t="shared" si="3"/>
        <v/>
      </c>
      <c r="AG74" s="73"/>
      <c r="AH74" s="71" t="str">
        <f t="shared" si="4"/>
        <v/>
      </c>
      <c r="AI74" s="73"/>
      <c r="AJ74" s="71" t="str">
        <f t="shared" si="5"/>
        <v/>
      </c>
      <c r="AK74" s="73"/>
      <c r="AL74" s="71" t="str">
        <f t="shared" si="6"/>
        <v/>
      </c>
      <c r="AM74" s="73"/>
      <c r="AN74" s="92" t="str" cm="1">
        <f t="array" ref="AN74">IF(AM74="","",IF((F74-G74)&gt;=4,IF(AM74&gt;=3,"ok","X"),IF(AM74&gt;=1,IF(AM74&lt;=2,"ok","X"),X)))</f>
        <v/>
      </c>
      <c r="AO74" s="95"/>
      <c r="AP74" s="89"/>
      <c r="AQ74" s="89"/>
      <c r="AR74" s="89"/>
      <c r="AS74" s="89"/>
      <c r="AT74" s="89"/>
      <c r="AU74" s="96"/>
    </row>
    <row r="75" spans="1:47" ht="45" customHeight="1" x14ac:dyDescent="0.2">
      <c r="A75" s="1">
        <v>60</v>
      </c>
      <c r="B75" s="64"/>
      <c r="C75" s="65"/>
      <c r="D75" s="66"/>
      <c r="E75" s="66"/>
      <c r="F75" s="66"/>
      <c r="G75" s="79"/>
      <c r="H75" s="82" t="str">
        <f t="shared" si="0"/>
        <v/>
      </c>
      <c r="I75" s="66" t="str">
        <f t="shared" si="1"/>
        <v/>
      </c>
      <c r="J75" s="66"/>
      <c r="K75" s="83"/>
      <c r="L75" s="81">
        <f t="shared" si="2"/>
        <v>0</v>
      </c>
      <c r="M75" s="67"/>
      <c r="N75" s="68"/>
      <c r="O75" s="68"/>
      <c r="P75" s="69"/>
      <c r="Q75" s="68"/>
      <c r="R75" s="70"/>
      <c r="S75" s="67"/>
      <c r="T75" s="68"/>
      <c r="U75" s="70"/>
      <c r="V75" s="67"/>
      <c r="W75" s="68"/>
      <c r="X75" s="68"/>
      <c r="Y75" s="68"/>
      <c r="Z75" s="68"/>
      <c r="AA75" s="68"/>
      <c r="AB75" s="71"/>
      <c r="AC75" s="72"/>
      <c r="AD75" s="73"/>
      <c r="AE75" s="73"/>
      <c r="AF75" s="71" t="str">
        <f t="shared" si="3"/>
        <v/>
      </c>
      <c r="AG75" s="73"/>
      <c r="AH75" s="71" t="str">
        <f t="shared" si="4"/>
        <v/>
      </c>
      <c r="AI75" s="73"/>
      <c r="AJ75" s="71" t="str">
        <f t="shared" si="5"/>
        <v/>
      </c>
      <c r="AK75" s="73"/>
      <c r="AL75" s="71" t="str">
        <f t="shared" si="6"/>
        <v/>
      </c>
      <c r="AM75" s="73"/>
      <c r="AN75" s="92" t="str" cm="1">
        <f t="array" ref="AN75">IF(AM75="","",IF((F75-G75)&gt;=4,IF(AM75&gt;=3,"ok","X"),IF(AM75&gt;=1,IF(AM75&lt;=2,"ok","X"),X)))</f>
        <v/>
      </c>
      <c r="AO75" s="95"/>
      <c r="AP75" s="89"/>
      <c r="AQ75" s="89"/>
      <c r="AR75" s="89"/>
      <c r="AS75" s="89"/>
      <c r="AT75" s="89"/>
      <c r="AU75" s="96"/>
    </row>
    <row r="76" spans="1:47" ht="45" customHeight="1" x14ac:dyDescent="0.2">
      <c r="A76" s="1">
        <v>61</v>
      </c>
      <c r="B76" s="64"/>
      <c r="C76" s="65"/>
      <c r="D76" s="66"/>
      <c r="E76" s="66"/>
      <c r="F76" s="66"/>
      <c r="G76" s="79"/>
      <c r="H76" s="82" t="str">
        <f t="shared" si="0"/>
        <v/>
      </c>
      <c r="I76" s="66" t="str">
        <f t="shared" si="1"/>
        <v/>
      </c>
      <c r="J76" s="66"/>
      <c r="K76" s="83"/>
      <c r="L76" s="81">
        <f t="shared" si="2"/>
        <v>0</v>
      </c>
      <c r="M76" s="67"/>
      <c r="N76" s="68"/>
      <c r="O76" s="68"/>
      <c r="P76" s="69"/>
      <c r="Q76" s="68"/>
      <c r="R76" s="70"/>
      <c r="S76" s="67"/>
      <c r="T76" s="68"/>
      <c r="U76" s="70"/>
      <c r="V76" s="67"/>
      <c r="W76" s="68"/>
      <c r="X76" s="68"/>
      <c r="Y76" s="68"/>
      <c r="Z76" s="68"/>
      <c r="AA76" s="68"/>
      <c r="AB76" s="71"/>
      <c r="AC76" s="72"/>
      <c r="AD76" s="73"/>
      <c r="AE76" s="73"/>
      <c r="AF76" s="71" t="str">
        <f t="shared" si="3"/>
        <v/>
      </c>
      <c r="AG76" s="73"/>
      <c r="AH76" s="71" t="str">
        <f t="shared" si="4"/>
        <v/>
      </c>
      <c r="AI76" s="73"/>
      <c r="AJ76" s="71" t="str">
        <f t="shared" si="5"/>
        <v/>
      </c>
      <c r="AK76" s="73"/>
      <c r="AL76" s="71" t="str">
        <f t="shared" si="6"/>
        <v/>
      </c>
      <c r="AM76" s="73"/>
      <c r="AN76" s="92" t="str" cm="1">
        <f t="array" ref="AN76">IF(AM76="","",IF((F76-G76)&gt;=4,IF(AM76&gt;=3,"ok","X"),IF(AM76&gt;=1,IF(AM76&lt;=2,"ok","X"),X)))</f>
        <v/>
      </c>
      <c r="AO76" s="95"/>
      <c r="AP76" s="89"/>
      <c r="AQ76" s="89"/>
      <c r="AR76" s="89"/>
      <c r="AS76" s="89"/>
      <c r="AT76" s="89"/>
      <c r="AU76" s="96"/>
    </row>
    <row r="77" spans="1:47" ht="45" customHeight="1" x14ac:dyDescent="0.2">
      <c r="A77" s="1">
        <v>62</v>
      </c>
      <c r="B77" s="64"/>
      <c r="C77" s="65"/>
      <c r="D77" s="66"/>
      <c r="E77" s="66"/>
      <c r="F77" s="66"/>
      <c r="G77" s="79"/>
      <c r="H77" s="82" t="str">
        <f t="shared" si="0"/>
        <v/>
      </c>
      <c r="I77" s="66" t="str">
        <f t="shared" si="1"/>
        <v/>
      </c>
      <c r="J77" s="66"/>
      <c r="K77" s="83"/>
      <c r="L77" s="81">
        <f t="shared" si="2"/>
        <v>0</v>
      </c>
      <c r="M77" s="67"/>
      <c r="N77" s="68"/>
      <c r="O77" s="68"/>
      <c r="P77" s="69"/>
      <c r="Q77" s="68"/>
      <c r="R77" s="70"/>
      <c r="S77" s="67"/>
      <c r="T77" s="68"/>
      <c r="U77" s="70"/>
      <c r="V77" s="67"/>
      <c r="W77" s="68"/>
      <c r="X77" s="68"/>
      <c r="Y77" s="68"/>
      <c r="Z77" s="68"/>
      <c r="AA77" s="68"/>
      <c r="AB77" s="71"/>
      <c r="AC77" s="72"/>
      <c r="AD77" s="73"/>
      <c r="AE77" s="73"/>
      <c r="AF77" s="71" t="str">
        <f t="shared" si="3"/>
        <v/>
      </c>
      <c r="AG77" s="73"/>
      <c r="AH77" s="71" t="str">
        <f t="shared" si="4"/>
        <v/>
      </c>
      <c r="AI77" s="73"/>
      <c r="AJ77" s="71" t="str">
        <f t="shared" si="5"/>
        <v/>
      </c>
      <c r="AK77" s="73"/>
      <c r="AL77" s="71" t="str">
        <f t="shared" si="6"/>
        <v/>
      </c>
      <c r="AM77" s="73"/>
      <c r="AN77" s="92" t="str" cm="1">
        <f t="array" ref="AN77">IF(AM77="","",IF((F77-G77)&gt;=4,IF(AM77&gt;=3,"ok","X"),IF(AM77&gt;=1,IF(AM77&lt;=2,"ok","X"),X)))</f>
        <v/>
      </c>
      <c r="AO77" s="95"/>
      <c r="AP77" s="89"/>
      <c r="AQ77" s="89"/>
      <c r="AR77" s="89"/>
      <c r="AS77" s="89"/>
      <c r="AT77" s="89"/>
      <c r="AU77" s="96"/>
    </row>
    <row r="78" spans="1:47" ht="45" customHeight="1" x14ac:dyDescent="0.2">
      <c r="A78" s="1">
        <v>63</v>
      </c>
      <c r="B78" s="64"/>
      <c r="C78" s="65"/>
      <c r="D78" s="66"/>
      <c r="E78" s="66"/>
      <c r="F78" s="66"/>
      <c r="G78" s="79"/>
      <c r="H78" s="82" t="str">
        <f t="shared" si="0"/>
        <v/>
      </c>
      <c r="I78" s="66" t="str">
        <f t="shared" si="1"/>
        <v/>
      </c>
      <c r="J78" s="66"/>
      <c r="K78" s="83"/>
      <c r="L78" s="81">
        <f t="shared" si="2"/>
        <v>0</v>
      </c>
      <c r="M78" s="67"/>
      <c r="N78" s="68"/>
      <c r="O78" s="68"/>
      <c r="P78" s="69"/>
      <c r="Q78" s="68"/>
      <c r="R78" s="70"/>
      <c r="S78" s="67"/>
      <c r="T78" s="68"/>
      <c r="U78" s="70"/>
      <c r="V78" s="67"/>
      <c r="W78" s="68"/>
      <c r="X78" s="68"/>
      <c r="Y78" s="68"/>
      <c r="Z78" s="68"/>
      <c r="AA78" s="68"/>
      <c r="AB78" s="71"/>
      <c r="AC78" s="72"/>
      <c r="AD78" s="73"/>
      <c r="AE78" s="73"/>
      <c r="AF78" s="71" t="str">
        <f t="shared" si="3"/>
        <v/>
      </c>
      <c r="AG78" s="73"/>
      <c r="AH78" s="71" t="str">
        <f t="shared" si="4"/>
        <v/>
      </c>
      <c r="AI78" s="73"/>
      <c r="AJ78" s="71" t="str">
        <f t="shared" si="5"/>
        <v/>
      </c>
      <c r="AK78" s="73"/>
      <c r="AL78" s="71" t="str">
        <f t="shared" si="6"/>
        <v/>
      </c>
      <c r="AM78" s="73"/>
      <c r="AN78" s="92" t="str" cm="1">
        <f t="array" ref="AN78">IF(AM78="","",IF((F78-G78)&gt;=4,IF(AM78&gt;=3,"ok","X"),IF(AM78&gt;=1,IF(AM78&lt;=2,"ok","X"),X)))</f>
        <v/>
      </c>
      <c r="AO78" s="95"/>
      <c r="AP78" s="89"/>
      <c r="AQ78" s="89"/>
      <c r="AR78" s="89"/>
      <c r="AS78" s="89"/>
      <c r="AT78" s="89"/>
      <c r="AU78" s="96"/>
    </row>
    <row r="79" spans="1:47" ht="45" customHeight="1" x14ac:dyDescent="0.2">
      <c r="A79" s="1">
        <v>64</v>
      </c>
      <c r="B79" s="64"/>
      <c r="C79" s="65"/>
      <c r="D79" s="66"/>
      <c r="E79" s="66"/>
      <c r="F79" s="66"/>
      <c r="G79" s="79"/>
      <c r="H79" s="82" t="str">
        <f t="shared" si="0"/>
        <v/>
      </c>
      <c r="I79" s="66" t="str">
        <f t="shared" si="1"/>
        <v/>
      </c>
      <c r="J79" s="66"/>
      <c r="K79" s="83"/>
      <c r="L79" s="81">
        <f t="shared" si="2"/>
        <v>0</v>
      </c>
      <c r="M79" s="67"/>
      <c r="N79" s="68"/>
      <c r="O79" s="68"/>
      <c r="P79" s="69"/>
      <c r="Q79" s="68"/>
      <c r="R79" s="70"/>
      <c r="S79" s="67"/>
      <c r="T79" s="68"/>
      <c r="U79" s="70"/>
      <c r="V79" s="67"/>
      <c r="W79" s="68"/>
      <c r="X79" s="68"/>
      <c r="Y79" s="68"/>
      <c r="Z79" s="68"/>
      <c r="AA79" s="68"/>
      <c r="AB79" s="71"/>
      <c r="AC79" s="72"/>
      <c r="AD79" s="73"/>
      <c r="AE79" s="73"/>
      <c r="AF79" s="71" t="str">
        <f t="shared" si="3"/>
        <v/>
      </c>
      <c r="AG79" s="73"/>
      <c r="AH79" s="71" t="str">
        <f t="shared" si="4"/>
        <v/>
      </c>
      <c r="AI79" s="73"/>
      <c r="AJ79" s="71" t="str">
        <f t="shared" si="5"/>
        <v/>
      </c>
      <c r="AK79" s="73"/>
      <c r="AL79" s="71" t="str">
        <f t="shared" si="6"/>
        <v/>
      </c>
      <c r="AM79" s="73"/>
      <c r="AN79" s="92" t="str" cm="1">
        <f t="array" ref="AN79">IF(AM79="","",IF((F79-G79)&gt;=4,IF(AM79&gt;=3,"ok","X"),IF(AM79&gt;=1,IF(AM79&lt;=2,"ok","X"),X)))</f>
        <v/>
      </c>
      <c r="AO79" s="95"/>
      <c r="AP79" s="89"/>
      <c r="AQ79" s="89"/>
      <c r="AR79" s="89"/>
      <c r="AS79" s="89"/>
      <c r="AT79" s="89"/>
      <c r="AU79" s="96"/>
    </row>
    <row r="80" spans="1:47" ht="45" customHeight="1" x14ac:dyDescent="0.2">
      <c r="A80" s="1">
        <v>65</v>
      </c>
      <c r="B80" s="64"/>
      <c r="C80" s="65"/>
      <c r="D80" s="66"/>
      <c r="E80" s="66"/>
      <c r="F80" s="66"/>
      <c r="G80" s="79"/>
      <c r="H80" s="82" t="str">
        <f t="shared" si="0"/>
        <v/>
      </c>
      <c r="I80" s="66" t="str">
        <f t="shared" si="1"/>
        <v/>
      </c>
      <c r="J80" s="66"/>
      <c r="K80" s="83"/>
      <c r="L80" s="81">
        <f t="shared" si="2"/>
        <v>0</v>
      </c>
      <c r="M80" s="67"/>
      <c r="N80" s="68"/>
      <c r="O80" s="68"/>
      <c r="P80" s="69"/>
      <c r="Q80" s="68"/>
      <c r="R80" s="70"/>
      <c r="S80" s="67"/>
      <c r="T80" s="68"/>
      <c r="U80" s="70"/>
      <c r="V80" s="67"/>
      <c r="W80" s="68"/>
      <c r="X80" s="68"/>
      <c r="Y80" s="68"/>
      <c r="Z80" s="68"/>
      <c r="AA80" s="68"/>
      <c r="AB80" s="71"/>
      <c r="AC80" s="72"/>
      <c r="AD80" s="73"/>
      <c r="AE80" s="73"/>
      <c r="AF80" s="71" t="str">
        <f t="shared" si="3"/>
        <v/>
      </c>
      <c r="AG80" s="73"/>
      <c r="AH80" s="71" t="str">
        <f t="shared" si="4"/>
        <v/>
      </c>
      <c r="AI80" s="73"/>
      <c r="AJ80" s="71" t="str">
        <f t="shared" si="5"/>
        <v/>
      </c>
      <c r="AK80" s="73"/>
      <c r="AL80" s="71" t="str">
        <f t="shared" si="6"/>
        <v/>
      </c>
      <c r="AM80" s="73"/>
      <c r="AN80" s="92" t="str" cm="1">
        <f t="array" ref="AN80">IF(AM80="","",IF((F80-G80)&gt;=4,IF(AM80&gt;=3,"ok","X"),IF(AM80&gt;=1,IF(AM80&lt;=2,"ok","X"),X)))</f>
        <v/>
      </c>
      <c r="AO80" s="95"/>
      <c r="AP80" s="89"/>
      <c r="AQ80" s="89"/>
      <c r="AR80" s="89"/>
      <c r="AS80" s="89"/>
      <c r="AT80" s="89"/>
      <c r="AU80" s="96"/>
    </row>
    <row r="81" spans="1:47" ht="45" customHeight="1" x14ac:dyDescent="0.2">
      <c r="A81" s="1">
        <v>66</v>
      </c>
      <c r="B81" s="64"/>
      <c r="C81" s="65"/>
      <c r="D81" s="66"/>
      <c r="E81" s="66"/>
      <c r="F81" s="66"/>
      <c r="G81" s="79"/>
      <c r="H81" s="82" t="str">
        <f t="shared" ref="H81:H83" si="7">IF(OR(F81=0,D81=0),"",IF(F81-D81&gt;0,F81-D81,""))</f>
        <v/>
      </c>
      <c r="I81" s="66" t="str">
        <f t="shared" ref="I81:I83" si="8">IF(H81="","",INT(5*(F81-D81)))</f>
        <v/>
      </c>
      <c r="J81" s="66"/>
      <c r="K81" s="83"/>
      <c r="L81" s="81">
        <f t="shared" ref="L81:L83" si="9">F81-G81</f>
        <v>0</v>
      </c>
      <c r="M81" s="67"/>
      <c r="N81" s="68"/>
      <c r="O81" s="68"/>
      <c r="P81" s="69"/>
      <c r="Q81" s="68"/>
      <c r="R81" s="70"/>
      <c r="S81" s="67"/>
      <c r="T81" s="68"/>
      <c r="U81" s="70"/>
      <c r="V81" s="67"/>
      <c r="W81" s="68"/>
      <c r="X81" s="68"/>
      <c r="Y81" s="68"/>
      <c r="Z81" s="68"/>
      <c r="AA81" s="68"/>
      <c r="AB81" s="71"/>
      <c r="AC81" s="72"/>
      <c r="AD81" s="73"/>
      <c r="AE81" s="73"/>
      <c r="AF81" s="71" t="str">
        <f t="shared" ref="AF81:AF83" si="10">IF(AE81="","",IF(AE81&gt;=10,"ok","X"))</f>
        <v/>
      </c>
      <c r="AG81" s="73"/>
      <c r="AH81" s="71" t="str">
        <f t="shared" ref="AH81:AH83" si="11">IF(AG81="","",IF(AG81&gt;=3,"ok","X"))</f>
        <v/>
      </c>
      <c r="AI81" s="73"/>
      <c r="AJ81" s="71" t="str">
        <f t="shared" ref="AJ81:AJ82" si="12">IF(AI81="","",IF(AI81&gt;=4,"ok","X"))</f>
        <v/>
      </c>
      <c r="AK81" s="73"/>
      <c r="AL81" s="71" t="str">
        <f t="shared" ref="AL81:AL83" si="13">IF(AK81="","",IF(AK81&gt;=5,"ok","X"))</f>
        <v/>
      </c>
      <c r="AM81" s="73"/>
      <c r="AN81" s="92" t="str" cm="1">
        <f t="array" ref="AN81">IF(AM81="","",IF((F81-G81)&gt;=4,IF(AM81&gt;=3,"ok","X"),IF(AM81&gt;=1,IF(AM81&lt;=2,"ok","X"),X)))</f>
        <v/>
      </c>
      <c r="AO81" s="95"/>
      <c r="AP81" s="89"/>
      <c r="AQ81" s="89"/>
      <c r="AR81" s="89"/>
      <c r="AS81" s="89"/>
      <c r="AT81" s="89"/>
      <c r="AU81" s="96"/>
    </row>
    <row r="82" spans="1:47" ht="45" customHeight="1" x14ac:dyDescent="0.2">
      <c r="A82" s="1">
        <v>67</v>
      </c>
      <c r="B82" s="64"/>
      <c r="C82" s="65"/>
      <c r="D82" s="66"/>
      <c r="E82" s="66"/>
      <c r="F82" s="66"/>
      <c r="G82" s="79"/>
      <c r="H82" s="82" t="str">
        <f t="shared" si="7"/>
        <v/>
      </c>
      <c r="I82" s="66" t="str">
        <f t="shared" si="8"/>
        <v/>
      </c>
      <c r="J82" s="66"/>
      <c r="K82" s="83"/>
      <c r="L82" s="81">
        <f t="shared" si="9"/>
        <v>0</v>
      </c>
      <c r="M82" s="67"/>
      <c r="N82" s="68"/>
      <c r="O82" s="68"/>
      <c r="P82" s="69"/>
      <c r="Q82" s="68"/>
      <c r="R82" s="70"/>
      <c r="S82" s="67"/>
      <c r="T82" s="68"/>
      <c r="U82" s="70"/>
      <c r="V82" s="67"/>
      <c r="W82" s="68"/>
      <c r="X82" s="68"/>
      <c r="Y82" s="68"/>
      <c r="Z82" s="68"/>
      <c r="AA82" s="68"/>
      <c r="AB82" s="71"/>
      <c r="AC82" s="72"/>
      <c r="AD82" s="73"/>
      <c r="AE82" s="73"/>
      <c r="AF82" s="71" t="str">
        <f t="shared" si="10"/>
        <v/>
      </c>
      <c r="AG82" s="73"/>
      <c r="AH82" s="71" t="str">
        <f t="shared" si="11"/>
        <v/>
      </c>
      <c r="AI82" s="73"/>
      <c r="AJ82" s="71" t="str">
        <f t="shared" si="12"/>
        <v/>
      </c>
      <c r="AK82" s="73"/>
      <c r="AL82" s="71" t="str">
        <f t="shared" si="13"/>
        <v/>
      </c>
      <c r="AM82" s="73"/>
      <c r="AN82" s="92" t="str" cm="1">
        <f t="array" ref="AN82">IF(AM82="","",IF((F82-G82)&gt;=4,IF(AM82&gt;=3,"ok","X"),IF(AM82&gt;=1,IF(AM82&lt;=2,"ok","X"),X)))</f>
        <v/>
      </c>
      <c r="AO82" s="95"/>
      <c r="AP82" s="89"/>
      <c r="AQ82" s="89"/>
      <c r="AR82" s="89"/>
      <c r="AS82" s="89"/>
      <c r="AT82" s="89"/>
      <c r="AU82" s="96"/>
    </row>
    <row r="83" spans="1:47" ht="45" customHeight="1" thickBot="1" x14ac:dyDescent="0.25">
      <c r="A83" s="1">
        <v>68</v>
      </c>
      <c r="B83" s="64"/>
      <c r="C83" s="65"/>
      <c r="D83" s="66"/>
      <c r="E83" s="66"/>
      <c r="F83" s="66"/>
      <c r="G83" s="79"/>
      <c r="H83" s="84" t="str">
        <f t="shared" si="7"/>
        <v/>
      </c>
      <c r="I83" s="85" t="str">
        <f t="shared" si="8"/>
        <v/>
      </c>
      <c r="J83" s="85"/>
      <c r="K83" s="86"/>
      <c r="L83" s="81">
        <f t="shared" si="9"/>
        <v>0</v>
      </c>
      <c r="M83" s="67"/>
      <c r="N83" s="68"/>
      <c r="O83" s="68"/>
      <c r="P83" s="69"/>
      <c r="Q83" s="68"/>
      <c r="R83" s="70"/>
      <c r="S83" s="67"/>
      <c r="T83" s="68"/>
      <c r="U83" s="70"/>
      <c r="V83" s="67"/>
      <c r="W83" s="68"/>
      <c r="X83" s="68"/>
      <c r="Y83" s="68"/>
      <c r="Z83" s="68"/>
      <c r="AA83" s="68"/>
      <c r="AB83" s="71"/>
      <c r="AC83" s="72"/>
      <c r="AD83" s="73"/>
      <c r="AE83" s="73"/>
      <c r="AF83" s="71" t="str">
        <f t="shared" si="10"/>
        <v/>
      </c>
      <c r="AG83" s="73"/>
      <c r="AH83" s="71" t="str">
        <f t="shared" si="11"/>
        <v/>
      </c>
      <c r="AI83" s="73"/>
      <c r="AJ83" s="71" t="str">
        <f>IF(AI83="","",IF(AI83&gt;=4,"ok","X"))</f>
        <v/>
      </c>
      <c r="AK83" s="73"/>
      <c r="AL83" s="71" t="str">
        <f t="shared" si="13"/>
        <v/>
      </c>
      <c r="AM83" s="73"/>
      <c r="AN83" s="92" t="str" cm="1">
        <f t="array" ref="AN83">IF(AM83="","",IF((F83-G83)&gt;=4,IF(AM83&gt;=3,"ok","X"),IF(AM83&gt;=1,IF(AM83&lt;=2,"ok","X"),X)))</f>
        <v/>
      </c>
      <c r="AO83" s="97"/>
      <c r="AP83" s="98"/>
      <c r="AQ83" s="98"/>
      <c r="AR83" s="98"/>
      <c r="AS83" s="98"/>
      <c r="AT83" s="98"/>
      <c r="AU83" s="99"/>
    </row>
    <row r="84" spans="1:47" ht="45" customHeight="1" x14ac:dyDescent="0.2"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6"/>
      <c r="O84" s="5"/>
      <c r="P84" s="5"/>
      <c r="Q84" s="4"/>
      <c r="R84" s="5"/>
      <c r="S84" s="7"/>
      <c r="T84" s="7"/>
      <c r="U84" s="4"/>
      <c r="V84" s="7"/>
      <c r="W84" s="7"/>
      <c r="X84" s="7"/>
      <c r="Y84" s="7"/>
      <c r="Z84" s="7"/>
      <c r="AA84" s="7"/>
      <c r="AB84" s="7"/>
      <c r="AC84" s="4"/>
    </row>
    <row r="85" spans="1:47" ht="45" customHeight="1" x14ac:dyDescent="0.2">
      <c r="B85" s="147" t="s">
        <v>108</v>
      </c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</row>
    <row r="86" spans="1:47" ht="45" customHeight="1" x14ac:dyDescent="0.2"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</row>
    <row r="87" spans="1:47" ht="45" customHeight="1" x14ac:dyDescent="0.2"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</row>
    <row r="88" spans="1:47" ht="45" customHeight="1" x14ac:dyDescent="0.2"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</row>
    <row r="89" spans="1:47" ht="45" customHeight="1" x14ac:dyDescent="0.2"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</row>
    <row r="90" spans="1:47" ht="45" customHeight="1" x14ac:dyDescent="0.2"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</row>
    <row r="91" spans="1:47" ht="45" customHeight="1" x14ac:dyDescent="0.2"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</row>
    <row r="92" spans="1:47" ht="45" customHeight="1" x14ac:dyDescent="0.2"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</row>
    <row r="93" spans="1:47" ht="45" customHeight="1" x14ac:dyDescent="0.2"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</row>
    <row r="94" spans="1:47" ht="45" customHeight="1" x14ac:dyDescent="0.2"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</row>
    <row r="95" spans="1:47" ht="45" customHeight="1" x14ac:dyDescent="0.2"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</row>
    <row r="96" spans="1:47" ht="45" customHeight="1" x14ac:dyDescent="0.2"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</row>
    <row r="97" spans="2:29" ht="45" customHeight="1" x14ac:dyDescent="0.2"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</row>
    <row r="98" spans="2:29" ht="45" customHeight="1" x14ac:dyDescent="0.2"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</row>
    <row r="99" spans="2:29" ht="45" customHeight="1" x14ac:dyDescent="0.2"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</row>
    <row r="100" spans="2:29" ht="45" customHeight="1" x14ac:dyDescent="0.2"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</row>
    <row r="101" spans="2:29" ht="45" customHeight="1" x14ac:dyDescent="0.2"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</row>
    <row r="102" spans="2:29" ht="45" customHeight="1" x14ac:dyDescent="0.2"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</row>
    <row r="103" spans="2:29" ht="45" customHeight="1" x14ac:dyDescent="0.2"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</row>
    <row r="104" spans="2:29" ht="45" customHeight="1" x14ac:dyDescent="0.2"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</row>
    <row r="105" spans="2:29" ht="45" customHeight="1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1"/>
      <c r="O105" s="13"/>
      <c r="P105" s="13"/>
      <c r="Q105" s="12"/>
      <c r="R105" s="13"/>
      <c r="S105" s="14"/>
      <c r="T105" s="14"/>
      <c r="U105" s="12"/>
      <c r="V105" s="14"/>
      <c r="W105" s="14"/>
      <c r="X105" s="14"/>
      <c r="Y105" s="14"/>
      <c r="Z105" s="14"/>
      <c r="AA105" s="14"/>
      <c r="AB105" s="14"/>
      <c r="AC105" s="4"/>
    </row>
    <row r="106" spans="2:29" ht="45" customHeight="1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1"/>
      <c r="O106" s="13"/>
      <c r="P106" s="13"/>
      <c r="Q106" s="12"/>
      <c r="R106" s="13"/>
      <c r="S106" s="14"/>
      <c r="T106" s="14"/>
      <c r="U106" s="12"/>
      <c r="V106" s="14"/>
      <c r="W106" s="14"/>
      <c r="X106" s="14"/>
      <c r="Y106" s="14"/>
      <c r="Z106" s="14"/>
      <c r="AA106" s="14"/>
      <c r="AB106" s="14"/>
      <c r="AC106" s="4"/>
    </row>
    <row r="107" spans="2:29" ht="45" customHeight="1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1"/>
      <c r="O107" s="13"/>
      <c r="P107" s="13"/>
      <c r="Q107" s="12"/>
      <c r="R107" s="13"/>
      <c r="S107" s="14"/>
      <c r="T107" s="14"/>
      <c r="U107" s="12"/>
      <c r="V107" s="14"/>
      <c r="W107" s="14"/>
      <c r="X107" s="14"/>
      <c r="Y107" s="14"/>
      <c r="Z107" s="14"/>
      <c r="AA107" s="14"/>
      <c r="AB107" s="14"/>
      <c r="AC107" s="4"/>
    </row>
    <row r="108" spans="2:29" ht="45" customHeight="1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1"/>
      <c r="O108" s="13"/>
      <c r="P108" s="13"/>
      <c r="Q108" s="12"/>
      <c r="R108" s="13"/>
      <c r="S108" s="14"/>
      <c r="T108" s="14"/>
      <c r="U108" s="12"/>
      <c r="V108" s="14"/>
      <c r="W108" s="14"/>
      <c r="X108" s="14"/>
      <c r="Y108" s="14"/>
      <c r="Z108" s="14"/>
      <c r="AA108" s="14"/>
      <c r="AB108" s="14"/>
      <c r="AC108" s="4"/>
    </row>
    <row r="109" spans="2:29" ht="45" customHeight="1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1"/>
      <c r="O109" s="13"/>
      <c r="P109" s="13"/>
      <c r="Q109" s="12"/>
      <c r="R109" s="13"/>
      <c r="S109" s="14"/>
      <c r="T109" s="14"/>
      <c r="U109" s="12"/>
      <c r="V109" s="14"/>
      <c r="W109" s="14"/>
      <c r="X109" s="14"/>
      <c r="Y109" s="14"/>
      <c r="Z109" s="14"/>
      <c r="AA109" s="14"/>
      <c r="AB109" s="14"/>
      <c r="AC109" s="4"/>
    </row>
    <row r="110" spans="2:29" ht="45" customHeight="1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1"/>
      <c r="O110" s="13"/>
      <c r="P110" s="13"/>
      <c r="Q110" s="12"/>
      <c r="R110" s="13"/>
      <c r="S110" s="14"/>
      <c r="T110" s="14"/>
      <c r="U110" s="12"/>
      <c r="V110" s="14"/>
      <c r="W110" s="14"/>
      <c r="X110" s="14"/>
      <c r="Y110" s="14"/>
      <c r="Z110" s="14"/>
      <c r="AA110" s="14"/>
      <c r="AB110" s="14"/>
      <c r="AC110" s="7"/>
    </row>
    <row r="111" spans="2:29" ht="45" customHeight="1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1"/>
      <c r="O111" s="13"/>
      <c r="P111" s="13"/>
      <c r="Q111" s="12"/>
      <c r="R111" s="13"/>
      <c r="S111" s="14"/>
      <c r="T111" s="14"/>
      <c r="U111" s="12"/>
      <c r="V111" s="14"/>
      <c r="W111" s="14"/>
      <c r="X111" s="14"/>
      <c r="Y111" s="14"/>
      <c r="Z111" s="14"/>
      <c r="AA111" s="14"/>
      <c r="AB111" s="14"/>
      <c r="AC111" s="4"/>
    </row>
    <row r="112" spans="2:29" ht="45" customHeight="1" x14ac:dyDescent="0.2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6"/>
      <c r="O112" s="5"/>
      <c r="P112" s="5"/>
      <c r="Q112" s="4"/>
      <c r="R112" s="5"/>
      <c r="S112" s="7"/>
      <c r="T112" s="7"/>
      <c r="U112" s="4"/>
      <c r="V112" s="7"/>
      <c r="W112" s="7"/>
      <c r="X112" s="7"/>
      <c r="Y112" s="7"/>
      <c r="Z112" s="7"/>
      <c r="AA112" s="7"/>
      <c r="AB112" s="7"/>
      <c r="AC112" s="4"/>
    </row>
    <row r="113" spans="2:29" ht="45" customHeight="1" x14ac:dyDescent="0.2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6"/>
      <c r="O113" s="5"/>
      <c r="P113" s="5"/>
      <c r="Q113" s="4"/>
      <c r="R113" s="5"/>
      <c r="S113" s="7"/>
      <c r="T113" s="7"/>
      <c r="U113" s="4"/>
      <c r="V113" s="7"/>
      <c r="W113" s="7"/>
      <c r="X113" s="7"/>
      <c r="Y113" s="7"/>
      <c r="Z113" s="7"/>
      <c r="AA113" s="7"/>
      <c r="AB113" s="7"/>
      <c r="AC113" s="4"/>
    </row>
    <row r="114" spans="2:29" ht="45" customHeight="1" x14ac:dyDescent="0.2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6"/>
      <c r="O114" s="5"/>
      <c r="P114" s="5"/>
      <c r="Q114" s="4"/>
      <c r="R114" s="5"/>
      <c r="S114" s="7"/>
      <c r="T114" s="7"/>
      <c r="U114" s="4"/>
      <c r="V114" s="7"/>
      <c r="W114" s="7"/>
      <c r="X114" s="7"/>
      <c r="Y114" s="7"/>
      <c r="Z114" s="7"/>
      <c r="AA114" s="7"/>
      <c r="AB114" s="7"/>
      <c r="AC114" s="4"/>
    </row>
    <row r="115" spans="2:29" ht="45" customHeight="1" x14ac:dyDescent="0.2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6"/>
      <c r="O115" s="5"/>
      <c r="P115" s="5"/>
      <c r="Q115" s="4"/>
      <c r="R115" s="5"/>
      <c r="S115" s="7"/>
      <c r="T115" s="7"/>
      <c r="U115" s="4"/>
      <c r="V115" s="7"/>
      <c r="W115" s="7"/>
      <c r="X115" s="7"/>
      <c r="Y115" s="7"/>
      <c r="Z115" s="7"/>
      <c r="AA115" s="7"/>
      <c r="AB115" s="7"/>
      <c r="AC115" s="4"/>
    </row>
    <row r="116" spans="2:29" ht="45" customHeight="1" x14ac:dyDescent="0.2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6"/>
      <c r="O116" s="5"/>
      <c r="P116" s="5"/>
      <c r="Q116" s="4"/>
      <c r="R116" s="5"/>
      <c r="S116" s="7"/>
      <c r="T116" s="7"/>
      <c r="U116" s="4"/>
      <c r="V116" s="7"/>
      <c r="W116" s="7"/>
      <c r="X116" s="7"/>
      <c r="Y116" s="7"/>
      <c r="Z116" s="7"/>
      <c r="AA116" s="7"/>
      <c r="AB116" s="7"/>
      <c r="AC116" s="4"/>
    </row>
    <row r="117" spans="2:29" ht="45" customHeight="1" x14ac:dyDescent="0.2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6"/>
      <c r="O117" s="5"/>
      <c r="P117" s="5"/>
      <c r="Q117" s="4"/>
      <c r="R117" s="5"/>
      <c r="S117" s="7"/>
      <c r="T117" s="7"/>
      <c r="U117" s="4"/>
      <c r="V117" s="7"/>
      <c r="W117" s="7"/>
      <c r="X117" s="7"/>
      <c r="Y117" s="7"/>
      <c r="Z117" s="7"/>
      <c r="AA117" s="7"/>
      <c r="AB117" s="7"/>
      <c r="AC117" s="4"/>
    </row>
    <row r="118" spans="2:29" ht="45" customHeight="1" x14ac:dyDescent="0.2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6"/>
      <c r="O118" s="5"/>
      <c r="P118" s="5"/>
      <c r="Q118" s="4"/>
      <c r="R118" s="5"/>
      <c r="S118" s="7"/>
      <c r="T118" s="7"/>
      <c r="U118" s="4"/>
      <c r="V118" s="7"/>
      <c r="W118" s="7"/>
      <c r="X118" s="7"/>
      <c r="Y118" s="7"/>
      <c r="Z118" s="7"/>
      <c r="AA118" s="7"/>
      <c r="AB118" s="7"/>
      <c r="AC118" s="4"/>
    </row>
    <row r="119" spans="2:29" ht="45" customHeight="1" x14ac:dyDescent="0.2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6"/>
      <c r="O119" s="5"/>
      <c r="P119" s="5"/>
      <c r="Q119" s="4"/>
      <c r="R119" s="5"/>
      <c r="S119" s="7"/>
      <c r="T119" s="7"/>
      <c r="U119" s="4"/>
      <c r="V119" s="7"/>
      <c r="W119" s="7"/>
      <c r="X119" s="7"/>
      <c r="Y119" s="7"/>
      <c r="Z119" s="7"/>
      <c r="AA119" s="7"/>
      <c r="AB119" s="7"/>
      <c r="AC119" s="7"/>
    </row>
    <row r="120" spans="2:29" ht="45" customHeight="1" x14ac:dyDescent="0.2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6"/>
      <c r="O120" s="5"/>
      <c r="P120" s="5"/>
      <c r="Q120" s="4"/>
      <c r="R120" s="5"/>
      <c r="S120" s="7"/>
      <c r="T120" s="7"/>
      <c r="U120" s="4"/>
      <c r="V120" s="7"/>
      <c r="W120" s="7"/>
      <c r="X120" s="7"/>
      <c r="Y120" s="7"/>
      <c r="Z120" s="7"/>
      <c r="AA120" s="7"/>
      <c r="AB120" s="7"/>
      <c r="AC120" s="4"/>
    </row>
    <row r="121" spans="2:29" ht="45" customHeight="1" x14ac:dyDescent="0.2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6"/>
      <c r="O121" s="5"/>
      <c r="P121" s="5"/>
      <c r="Q121" s="4"/>
      <c r="R121" s="5"/>
      <c r="S121" s="7"/>
      <c r="T121" s="7"/>
      <c r="U121" s="4"/>
      <c r="V121" s="7"/>
      <c r="W121" s="7"/>
      <c r="X121" s="7"/>
      <c r="Y121" s="7"/>
      <c r="Z121" s="7"/>
      <c r="AA121" s="7"/>
      <c r="AB121" s="7"/>
      <c r="AC121" s="4"/>
    </row>
    <row r="122" spans="2:29" ht="45" customHeight="1" x14ac:dyDescent="0.2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6"/>
      <c r="O122" s="5"/>
      <c r="P122" s="5"/>
      <c r="Q122" s="4"/>
      <c r="R122" s="5"/>
      <c r="S122" s="7"/>
      <c r="T122" s="7"/>
      <c r="U122" s="4"/>
      <c r="V122" s="7"/>
      <c r="W122" s="7"/>
      <c r="X122" s="7"/>
      <c r="Y122" s="7"/>
      <c r="Z122" s="7"/>
      <c r="AA122" s="7"/>
      <c r="AB122" s="7"/>
      <c r="AC122" s="4"/>
    </row>
    <row r="123" spans="2:29" ht="45" customHeight="1" x14ac:dyDescent="0.2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6"/>
      <c r="O123" s="5"/>
      <c r="P123" s="5"/>
      <c r="Q123" s="4"/>
      <c r="R123" s="5"/>
      <c r="S123" s="7"/>
      <c r="T123" s="7"/>
      <c r="U123" s="4"/>
      <c r="V123" s="7"/>
      <c r="W123" s="7"/>
      <c r="X123" s="7"/>
      <c r="Y123" s="7"/>
      <c r="Z123" s="7"/>
      <c r="AA123" s="7"/>
      <c r="AB123" s="7"/>
      <c r="AC123" s="4"/>
    </row>
    <row r="124" spans="2:29" ht="45" customHeight="1" x14ac:dyDescent="0.2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6"/>
      <c r="O124" s="5"/>
      <c r="P124" s="5"/>
      <c r="Q124" s="4"/>
      <c r="R124" s="5"/>
      <c r="S124" s="7"/>
      <c r="T124" s="7"/>
      <c r="U124" s="4"/>
      <c r="V124" s="7"/>
      <c r="W124" s="7"/>
      <c r="X124" s="7"/>
      <c r="Y124" s="7"/>
      <c r="Z124" s="7"/>
      <c r="AA124" s="7"/>
      <c r="AB124" s="7"/>
      <c r="AC124" s="4"/>
    </row>
    <row r="125" spans="2:29" ht="45" customHeight="1" x14ac:dyDescent="0.2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6"/>
      <c r="O125" s="5"/>
      <c r="P125" s="5"/>
      <c r="Q125" s="4"/>
      <c r="R125" s="5"/>
      <c r="S125" s="7"/>
      <c r="T125" s="7"/>
      <c r="U125" s="4"/>
      <c r="V125" s="7"/>
      <c r="W125" s="7"/>
      <c r="X125" s="7"/>
      <c r="Y125" s="7"/>
      <c r="Z125" s="7"/>
      <c r="AA125" s="7"/>
      <c r="AB125" s="7"/>
      <c r="AC125" s="4"/>
    </row>
    <row r="126" spans="2:29" ht="45" customHeight="1" x14ac:dyDescent="0.2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6"/>
      <c r="O126" s="5"/>
      <c r="P126" s="5"/>
      <c r="Q126" s="4"/>
      <c r="R126" s="5"/>
      <c r="S126" s="7"/>
      <c r="T126" s="7"/>
      <c r="U126" s="4"/>
      <c r="V126" s="7"/>
      <c r="W126" s="7"/>
      <c r="X126" s="7"/>
      <c r="Y126" s="7"/>
      <c r="Z126" s="7"/>
      <c r="AA126" s="7"/>
      <c r="AB126" s="7"/>
      <c r="AC126" s="4"/>
    </row>
    <row r="127" spans="2:29" ht="45" customHeight="1" x14ac:dyDescent="0.2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6"/>
      <c r="O127" s="5"/>
      <c r="P127" s="5"/>
      <c r="Q127" s="4"/>
      <c r="R127" s="5"/>
      <c r="S127" s="7"/>
      <c r="T127" s="7"/>
      <c r="U127" s="4"/>
      <c r="V127" s="7"/>
      <c r="W127" s="7"/>
      <c r="X127" s="7"/>
      <c r="Y127" s="7"/>
      <c r="Z127" s="7"/>
      <c r="AA127" s="7"/>
      <c r="AB127" s="7"/>
      <c r="AC127" s="4"/>
    </row>
    <row r="128" spans="2:29" ht="45" customHeight="1" x14ac:dyDescent="0.2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6"/>
      <c r="O128" s="5"/>
      <c r="P128" s="5"/>
      <c r="Q128" s="4"/>
      <c r="R128" s="5"/>
      <c r="S128" s="7"/>
      <c r="T128" s="7"/>
      <c r="U128" s="4"/>
      <c r="V128" s="7"/>
      <c r="W128" s="7"/>
      <c r="X128" s="7"/>
      <c r="Y128" s="7"/>
      <c r="Z128" s="7"/>
      <c r="AA128" s="7"/>
      <c r="AB128" s="7"/>
      <c r="AC128" s="4"/>
    </row>
    <row r="129" spans="2:29" ht="45" customHeight="1" x14ac:dyDescent="0.2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6"/>
      <c r="O129" s="5"/>
      <c r="P129" s="5"/>
      <c r="Q129" s="4"/>
      <c r="R129" s="5"/>
      <c r="S129" s="7"/>
      <c r="T129" s="7"/>
      <c r="U129" s="4"/>
      <c r="V129" s="7"/>
      <c r="W129" s="7"/>
      <c r="X129" s="7"/>
      <c r="Y129" s="7"/>
      <c r="Z129" s="7"/>
      <c r="AA129" s="7"/>
      <c r="AB129" s="7"/>
      <c r="AC129" s="4"/>
    </row>
    <row r="130" spans="2:29" ht="45" customHeight="1" x14ac:dyDescent="0.2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6"/>
      <c r="O130" s="5"/>
      <c r="P130" s="5"/>
      <c r="Q130" s="4"/>
      <c r="R130" s="5"/>
      <c r="S130" s="7"/>
      <c r="T130" s="7"/>
      <c r="U130" s="4"/>
      <c r="V130" s="7"/>
      <c r="W130" s="7"/>
      <c r="X130" s="7"/>
      <c r="Y130" s="7"/>
      <c r="Z130" s="7"/>
      <c r="AA130" s="7"/>
      <c r="AB130" s="7"/>
      <c r="AC130" s="4"/>
    </row>
    <row r="131" spans="2:29" ht="45" customHeight="1" x14ac:dyDescent="0.2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6"/>
      <c r="O131" s="5"/>
      <c r="P131" s="5"/>
      <c r="Q131" s="4"/>
      <c r="R131" s="5"/>
      <c r="S131" s="7"/>
      <c r="T131" s="7"/>
      <c r="U131" s="4"/>
      <c r="V131" s="7"/>
      <c r="W131" s="7"/>
      <c r="X131" s="7"/>
      <c r="Y131" s="7"/>
      <c r="Z131" s="7"/>
      <c r="AA131" s="7"/>
      <c r="AB131" s="7"/>
      <c r="AC131" s="4"/>
    </row>
    <row r="132" spans="2:29" ht="45" customHeight="1" x14ac:dyDescent="0.2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6"/>
      <c r="O132" s="5"/>
      <c r="P132" s="5"/>
      <c r="Q132" s="4"/>
      <c r="R132" s="5"/>
      <c r="S132" s="7"/>
      <c r="T132" s="7"/>
      <c r="U132" s="4"/>
      <c r="V132" s="7"/>
      <c r="W132" s="7"/>
      <c r="X132" s="7"/>
      <c r="Y132" s="7"/>
      <c r="Z132" s="7"/>
      <c r="AA132" s="7"/>
      <c r="AB132" s="7"/>
      <c r="AC132" s="4"/>
    </row>
    <row r="133" spans="2:29" ht="45" customHeight="1" x14ac:dyDescent="0.2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6"/>
      <c r="O133" s="5"/>
      <c r="P133" s="5"/>
      <c r="Q133" s="4"/>
      <c r="R133" s="5"/>
      <c r="S133" s="7"/>
      <c r="T133" s="7"/>
      <c r="U133" s="4"/>
      <c r="V133" s="7"/>
      <c r="W133" s="7"/>
      <c r="X133" s="7"/>
      <c r="Y133" s="7"/>
      <c r="Z133" s="7"/>
      <c r="AA133" s="7"/>
      <c r="AB133" s="7"/>
      <c r="AC133" s="4"/>
    </row>
    <row r="134" spans="2:29" ht="45" customHeight="1" x14ac:dyDescent="0.2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6"/>
      <c r="O134" s="5"/>
      <c r="P134" s="5"/>
      <c r="Q134" s="4"/>
      <c r="R134" s="5"/>
      <c r="S134" s="7"/>
      <c r="T134" s="7"/>
      <c r="U134" s="4"/>
      <c r="V134" s="7"/>
      <c r="W134" s="7"/>
      <c r="X134" s="7"/>
      <c r="Y134" s="7"/>
      <c r="Z134" s="7"/>
      <c r="AA134" s="7"/>
      <c r="AB134" s="7"/>
      <c r="AC134" s="4"/>
    </row>
    <row r="135" spans="2:29" ht="45" customHeight="1" x14ac:dyDescent="0.2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6"/>
      <c r="O135" s="5"/>
      <c r="P135" s="5"/>
      <c r="Q135" s="4"/>
      <c r="R135" s="5"/>
      <c r="S135" s="7"/>
      <c r="T135" s="7"/>
      <c r="U135" s="4"/>
      <c r="V135" s="7"/>
      <c r="W135" s="7"/>
      <c r="X135" s="7"/>
      <c r="Y135" s="7"/>
      <c r="Z135" s="7"/>
      <c r="AA135" s="7"/>
      <c r="AB135" s="7"/>
      <c r="AC135" s="4"/>
    </row>
    <row r="136" spans="2:29" ht="45" customHeight="1" x14ac:dyDescent="0.2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6"/>
      <c r="O136" s="5"/>
      <c r="P136" s="5"/>
      <c r="Q136" s="4"/>
      <c r="R136" s="5"/>
      <c r="S136" s="7"/>
      <c r="T136" s="7"/>
      <c r="U136" s="4"/>
      <c r="V136" s="7"/>
      <c r="W136" s="7"/>
      <c r="X136" s="7"/>
      <c r="Y136" s="7"/>
      <c r="Z136" s="7"/>
      <c r="AA136" s="7"/>
      <c r="AB136" s="7"/>
      <c r="AC136" s="4"/>
    </row>
    <row r="137" spans="2:29" ht="45" customHeight="1" x14ac:dyDescent="0.2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6"/>
      <c r="O137" s="5"/>
      <c r="P137" s="5"/>
      <c r="Q137" s="4"/>
      <c r="R137" s="5"/>
      <c r="S137" s="7"/>
      <c r="T137" s="7"/>
      <c r="U137" s="4"/>
      <c r="V137" s="7"/>
      <c r="W137" s="7"/>
      <c r="X137" s="7"/>
      <c r="Y137" s="7"/>
      <c r="Z137" s="7"/>
      <c r="AA137" s="7"/>
      <c r="AB137" s="7"/>
      <c r="AC137" s="4"/>
    </row>
    <row r="138" spans="2:29" ht="45" customHeight="1" x14ac:dyDescent="0.2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6"/>
      <c r="O138" s="5"/>
      <c r="P138" s="5"/>
      <c r="Q138" s="4"/>
      <c r="R138" s="5"/>
      <c r="S138" s="7"/>
      <c r="T138" s="7"/>
      <c r="U138" s="4"/>
      <c r="V138" s="7"/>
      <c r="W138" s="7"/>
      <c r="X138" s="7"/>
      <c r="Y138" s="7"/>
      <c r="Z138" s="7"/>
      <c r="AA138" s="7"/>
      <c r="AB138" s="7"/>
      <c r="AC138" s="4"/>
    </row>
    <row r="139" spans="2:29" ht="45" customHeight="1" x14ac:dyDescent="0.2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6"/>
      <c r="O139" s="5"/>
      <c r="P139" s="5"/>
      <c r="Q139" s="4"/>
      <c r="R139" s="5"/>
      <c r="S139" s="7"/>
      <c r="T139" s="7"/>
      <c r="U139" s="4"/>
      <c r="V139" s="7"/>
      <c r="W139" s="7"/>
      <c r="X139" s="7"/>
      <c r="Y139" s="7"/>
      <c r="Z139" s="7"/>
      <c r="AA139" s="7"/>
      <c r="AB139" s="7"/>
      <c r="AC139" s="4"/>
    </row>
    <row r="140" spans="2:29" ht="45" customHeight="1" x14ac:dyDescent="0.2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6"/>
      <c r="O140" s="5"/>
      <c r="P140" s="5"/>
      <c r="Q140" s="4"/>
      <c r="R140" s="5"/>
      <c r="S140" s="7"/>
      <c r="T140" s="7"/>
      <c r="U140" s="4"/>
      <c r="V140" s="7"/>
      <c r="W140" s="7"/>
      <c r="X140" s="7"/>
      <c r="Y140" s="7"/>
      <c r="Z140" s="7"/>
      <c r="AA140" s="7"/>
      <c r="AB140" s="7"/>
      <c r="AC140" s="4"/>
    </row>
    <row r="141" spans="2:29" ht="45" customHeight="1" x14ac:dyDescent="0.2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6"/>
      <c r="O141" s="5"/>
      <c r="P141" s="5"/>
      <c r="Q141" s="4"/>
      <c r="R141" s="5"/>
      <c r="S141" s="7"/>
      <c r="T141" s="7"/>
      <c r="U141" s="4"/>
      <c r="V141" s="7"/>
      <c r="W141" s="7"/>
      <c r="X141" s="7"/>
      <c r="Y141" s="7"/>
      <c r="Z141" s="7"/>
      <c r="AA141" s="7"/>
      <c r="AB141" s="7"/>
      <c r="AC141" s="4"/>
    </row>
    <row r="142" spans="2:29" ht="45" customHeight="1" x14ac:dyDescent="0.2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6"/>
      <c r="O142" s="5"/>
      <c r="P142" s="5"/>
      <c r="Q142" s="4"/>
      <c r="R142" s="5"/>
      <c r="S142" s="7"/>
      <c r="T142" s="7"/>
      <c r="U142" s="4"/>
      <c r="V142" s="7"/>
      <c r="W142" s="7"/>
      <c r="X142" s="7"/>
      <c r="Y142" s="7"/>
      <c r="Z142" s="7"/>
      <c r="AA142" s="7"/>
      <c r="AB142" s="7"/>
      <c r="AC142" s="4"/>
    </row>
    <row r="143" spans="2:29" ht="45" customHeight="1" x14ac:dyDescent="0.2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6"/>
      <c r="O143" s="5"/>
      <c r="P143" s="5"/>
      <c r="Q143" s="4"/>
      <c r="R143" s="5"/>
      <c r="S143" s="7"/>
      <c r="T143" s="7"/>
      <c r="U143" s="4"/>
      <c r="V143" s="7"/>
      <c r="W143" s="7"/>
      <c r="X143" s="7"/>
      <c r="Y143" s="7"/>
      <c r="Z143" s="7"/>
      <c r="AA143" s="7"/>
      <c r="AB143" s="7"/>
      <c r="AC143" s="4"/>
    </row>
  </sheetData>
  <sheetProtection selectLockedCells="1"/>
  <dataConsolidate/>
  <mergeCells count="101">
    <mergeCell ref="B9:C9"/>
    <mergeCell ref="B8:C8"/>
    <mergeCell ref="D5:E5"/>
    <mergeCell ref="F5:G5"/>
    <mergeCell ref="B5:C5"/>
    <mergeCell ref="B7:C7"/>
    <mergeCell ref="B6:C6"/>
    <mergeCell ref="B2:E4"/>
    <mergeCell ref="Y5:Z5"/>
    <mergeCell ref="O5:P5"/>
    <mergeCell ref="M9:N9"/>
    <mergeCell ref="M6:N7"/>
    <mergeCell ref="M5:N5"/>
    <mergeCell ref="P6:P7"/>
    <mergeCell ref="O6:O7"/>
    <mergeCell ref="M8:N8"/>
    <mergeCell ref="F8:G8"/>
    <mergeCell ref="D7:E7"/>
    <mergeCell ref="F6:G6"/>
    <mergeCell ref="F7:G7"/>
    <mergeCell ref="D8:E8"/>
    <mergeCell ref="D9:E9"/>
    <mergeCell ref="D6:E6"/>
    <mergeCell ref="AM14:AN14"/>
    <mergeCell ref="AE3:AF3"/>
    <mergeCell ref="AD13:AN13"/>
    <mergeCell ref="T6:AB6"/>
    <mergeCell ref="T14:AB14"/>
    <mergeCell ref="T13:AB13"/>
    <mergeCell ref="T12:AB12"/>
    <mergeCell ref="T11:AB11"/>
    <mergeCell ref="F2:AC2"/>
    <mergeCell ref="F3:AC3"/>
    <mergeCell ref="F4:AC4"/>
    <mergeCell ref="O8:P8"/>
    <mergeCell ref="O9:P9"/>
    <mergeCell ref="T9:AB9"/>
    <mergeCell ref="T8:AB8"/>
    <mergeCell ref="T7:AB7"/>
    <mergeCell ref="F9:G9"/>
    <mergeCell ref="D10:E10"/>
    <mergeCell ref="D11:E11"/>
    <mergeCell ref="D12:E12"/>
    <mergeCell ref="B13:C13"/>
    <mergeCell ref="F12:G12"/>
    <mergeCell ref="F11:G11"/>
    <mergeCell ref="F10:G10"/>
    <mergeCell ref="D13:E13"/>
    <mergeCell ref="F13:G13"/>
    <mergeCell ref="B12:C12"/>
    <mergeCell ref="B11:C11"/>
    <mergeCell ref="B10:C10"/>
    <mergeCell ref="B88:AC88"/>
    <mergeCell ref="B89:AC89"/>
    <mergeCell ref="B90:AC90"/>
    <mergeCell ref="B91:AC91"/>
    <mergeCell ref="B92:AC92"/>
    <mergeCell ref="B85:AC85"/>
    <mergeCell ref="B86:AC86"/>
    <mergeCell ref="B87:AC87"/>
    <mergeCell ref="M14:N14"/>
    <mergeCell ref="O14:P14"/>
    <mergeCell ref="B14:C14"/>
    <mergeCell ref="F14:G14"/>
    <mergeCell ref="D14:E14"/>
    <mergeCell ref="B103:AC103"/>
    <mergeCell ref="B104:AC104"/>
    <mergeCell ref="B98:AC98"/>
    <mergeCell ref="B99:AC99"/>
    <mergeCell ref="B100:AC100"/>
    <mergeCell ref="B101:AC101"/>
    <mergeCell ref="B102:AC102"/>
    <mergeCell ref="B93:AC93"/>
    <mergeCell ref="B94:AC94"/>
    <mergeCell ref="B95:AC95"/>
    <mergeCell ref="B96:AC96"/>
    <mergeCell ref="B97:AC97"/>
    <mergeCell ref="AO14:AU14"/>
    <mergeCell ref="H7:L7"/>
    <mergeCell ref="H6:L6"/>
    <mergeCell ref="H5:L5"/>
    <mergeCell ref="H14:L14"/>
    <mergeCell ref="H13:L13"/>
    <mergeCell ref="H12:L12"/>
    <mergeCell ref="H11:L11"/>
    <mergeCell ref="H10:L10"/>
    <mergeCell ref="H9:L9"/>
    <mergeCell ref="H8:L8"/>
    <mergeCell ref="M13:N13"/>
    <mergeCell ref="O13:P13"/>
    <mergeCell ref="M10:N10"/>
    <mergeCell ref="M11:N11"/>
    <mergeCell ref="AE14:AF14"/>
    <mergeCell ref="M12:N12"/>
    <mergeCell ref="O12:P12"/>
    <mergeCell ref="O11:P11"/>
    <mergeCell ref="O10:P10"/>
    <mergeCell ref="T10:AB10"/>
    <mergeCell ref="AG14:AH14"/>
    <mergeCell ref="AI14:AJ14"/>
    <mergeCell ref="AK14:AL14"/>
  </mergeCells>
  <phoneticPr fontId="3" alignment="center"/>
  <dataValidations xWindow="868" yWindow="506" count="1">
    <dataValidation allowBlank="1" showErrorMessage="1" prompt="Ingrese los metro de cama de explosivo._x000a_" sqref="Z16:AA83" xr:uid="{63E9F9F0-17DA-4DC1-B4B3-825259590D51}"/>
  </dataValidations>
  <pageMargins left="0.59055118110236227" right="0.59055118110236227" top="0.59055118110236227" bottom="0.59055118110236227" header="0.62992125984251968" footer="0.59055118110236227"/>
  <pageSetup scale="61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xWindow="868" yWindow="506" count="33">
        <x14:dataValidation type="list" allowBlank="1" showInputMessage="1" showErrorMessage="1" prompt="Ingrese los metro de cama de explosivo._x000a_" xr:uid="{00000000-0002-0000-0000-000008000000}">
          <x14:formula1>
            <xm:f>Hoja1!$H$3:$H$28</xm:f>
          </x14:formula1>
          <xm:sqref>AC119 AC110 X84:AB84 X105:AB143</xm:sqref>
        </x14:dataValidation>
        <x14:dataValidation type="list" allowBlank="1" showInputMessage="1" showErrorMessage="1" prompt="Ingrese la cantidad de gredas que se utilizaron para confinar el tiro" xr:uid="{00000000-0002-0000-0000-000001000000}">
          <x14:formula1>
            <xm:f>Hoja1!$B$3:$B$52</xm:f>
          </x14:formula1>
          <xm:sqref>R84 R105:R143</xm:sqref>
        </x14:dataValidation>
        <x14:dataValidation type="list" allowBlank="1" showInputMessage="1" showErrorMessage="1" prompt="Seleccione el APD utilizado" xr:uid="{00000000-0002-0000-0000-000003000000}">
          <x14:formula1>
            <xm:f>Hoja1!$D$4:$D$7</xm:f>
          </x14:formula1>
          <xm:sqref>S84 S105:S143</xm:sqref>
        </x14:dataValidation>
        <x14:dataValidation type="list" allowBlank="1" showInputMessage="1" showErrorMessage="1" xr:uid="{00000000-0002-0000-0000-000006000000}">
          <x14:formula1>
            <xm:f>Hoja1!$F$3:$F$5</xm:f>
          </x14:formula1>
          <xm:sqref>V105:V143 V84 N16:N83</xm:sqref>
        </x14:dataValidation>
        <x14:dataValidation type="list" allowBlank="1" showInputMessage="1" showErrorMessage="1" xr:uid="{00000000-0002-0000-0000-000007000000}">
          <x14:formula1>
            <xm:f>Hoja1!$G$3:$G$4</xm:f>
          </x14:formula1>
          <xm:sqref>W105:W143 W84 O16:O83</xm:sqref>
        </x14:dataValidation>
        <x14:dataValidation type="list" allowBlank="1" showInputMessage="1" showErrorMessage="1" xr:uid="{CA2E8BAE-9508-4893-89B3-C40AF47757D8}">
          <x14:formula1>
            <xm:f>Hoja1!$M$3:$M$4</xm:f>
          </x14:formula1>
          <xm:sqref>Q105:Q143 S16:S83 Q84 V16:V83</xm:sqref>
        </x14:dataValidation>
        <x14:dataValidation type="list" allowBlank="1" showInputMessage="1" showErrorMessage="1" xr:uid="{33CEF9F8-A779-4B6B-A42F-4D6C7EA85E12}">
          <x14:formula1>
            <xm:f>Hoja1!$E$3:$E$8</xm:f>
          </x14:formula1>
          <xm:sqref>U84 U105:U143</xm:sqref>
        </x14:dataValidation>
        <x14:dataValidation type="list" allowBlank="1" showInputMessage="1" showErrorMessage="1" xr:uid="{5B3E6D23-361A-482D-83F0-0F6F9F8FC4A5}">
          <x14:formula1>
            <xm:f>Hoja1!$K$3:$K$11</xm:f>
          </x14:formula1>
          <xm:sqref>D7:E7</xm:sqref>
        </x14:dataValidation>
        <x14:dataValidation type="list" allowBlank="1" showInputMessage="1" showErrorMessage="1" xr:uid="{2F8A34B1-635D-4B61-8254-7127B66D9F91}">
          <x14:formula1>
            <xm:f>Hoja1!$L$3:$L$5</xm:f>
          </x14:formula1>
          <xm:sqref>D6:E6</xm:sqref>
        </x14:dataValidation>
        <x14:dataValidation type="list" allowBlank="1" showInputMessage="1" showErrorMessage="1" xr:uid="{3E540A0E-7A63-4369-97D0-48F07AC8692A}">
          <x14:formula1>
            <xm:f>Hoja1!$J$3:$J$8</xm:f>
          </x14:formula1>
          <xm:sqref>D12:E12</xm:sqref>
        </x14:dataValidation>
        <x14:dataValidation type="list" allowBlank="1" showInputMessage="1" showErrorMessage="1" xr:uid="{A1F01D4B-9848-4A54-A181-BED16CB07426}">
          <x14:formula1>
            <xm:f>Hoja1!$I$3:$I$7</xm:f>
          </x14:formula1>
          <xm:sqref>D11:E11</xm:sqref>
        </x14:dataValidation>
        <x14:dataValidation type="list" allowBlank="1" showErrorMessage="1" prompt="Ingrese los metro de cama de explosivo._x000a_" xr:uid="{765A0A29-587C-4097-BDBE-85195F0AD22A}">
          <x14:formula1>
            <xm:f>Hoja1!$H$3:$H$28</xm:f>
          </x14:formula1>
          <xm:sqref>Q29:Q83</xm:sqref>
        </x14:dataValidation>
        <x14:dataValidation type="list" allowBlank="1" showInputMessage="1" showErrorMessage="1" xr:uid="{65CCF6BF-12BE-45F1-BFA9-71F173F69F4F}">
          <x14:formula1>
            <xm:f>Hoja1!$D$3:$D$7</xm:f>
          </x14:formula1>
          <xm:sqref>R16:R83 U16:U83</xm:sqref>
        </x14:dataValidation>
        <x14:dataValidation type="list" allowBlank="1" showInputMessage="1" showErrorMessage="1" xr:uid="{C708D714-B23A-4897-8CB6-5081B68D1BE8}">
          <x14:formula1>
            <xm:f>Hoja1!$E$3:$E$11</xm:f>
          </x14:formula1>
          <xm:sqref>M16:M83</xm:sqref>
        </x14:dataValidation>
        <x14:dataValidation type="list" allowBlank="1" showErrorMessage="1" prompt="Si se usaron 2 tipos de APD distintos, seleccione la opción &quot;Especial&quot; e indique el detalle en observaciones." xr:uid="{F11B5920-2B2D-447F-8F41-CFEF9413227D}">
          <x14:formula1>
            <xm:f>Hoja1!$O$3:$O$28</xm:f>
          </x14:formula1>
          <xm:sqref>T16:T83 W16:W83</xm:sqref>
        </x14:dataValidation>
        <x14:dataValidation type="list" allowBlank="1" showErrorMessage="1" prompt="Ingrese los metro de cama de explosivo._x000a_" xr:uid="{285351C2-5D5D-46BA-9620-755A02F0205F}">
          <x14:formula1>
            <xm:f>Hoja1!$B$3:$B$42</xm:f>
          </x14:formula1>
          <xm:sqref>X31:X83</xm:sqref>
        </x14:dataValidation>
        <x14:dataValidation type="list" allowBlank="1" showErrorMessage="1" prompt="Ingrese si el tiro actual se esta cargando con la primera, segunda, tercera...etc. pera_x000a_" xr:uid="{59D92F22-9C54-4223-BF9C-320E34793820}">
          <x14:formula1>
            <xm:f>Hoja1!$A$3:$A$32</xm:f>
          </x14:formula1>
          <xm:sqref>E17:E83 G17:G83</xm:sqref>
        </x14:dataValidation>
        <x14:dataValidation type="list" allowBlank="1" showInputMessage="1" showErrorMessage="1" prompt="Ingrese cantidad de cebos= _x000a_*Un cebo puede estar formado por 1 iniciador más varios APD" xr:uid="{00000000-0002-0000-0000-000000000000}">
          <x14:formula1>
            <xm:f>Hoja1!#REF!</xm:f>
          </x14:formula1>
          <xm:sqref>O84:P84 O105:P143</xm:sqref>
        </x14:dataValidation>
        <x14:dataValidation type="list" allowBlank="1" showErrorMessage="1" prompt="Ingrese los metro de cama de explosivo._x000a_" xr:uid="{4327E12D-CBCB-4CB1-94D2-76AB1815D839}">
          <x14:formula1>
            <xm:f>Hoja1!$H$3:$H$43</xm:f>
          </x14:formula1>
          <xm:sqref>Q16:Q28</xm:sqref>
        </x14:dataValidation>
        <x14:dataValidation type="list" allowBlank="1" showInputMessage="1" showErrorMessage="1" xr:uid="{51FA40A6-530F-4D34-BB1A-C89BE1285BA8}">
          <x14:formula1>
            <xm:f>Hoja1!$Q$3:$Q$5</xm:f>
          </x14:formula1>
          <xm:sqref>D8:E8</xm:sqref>
        </x14:dataValidation>
        <x14:dataValidation type="list" allowBlank="1" showInputMessage="1" showErrorMessage="1" xr:uid="{9CEF383D-3A85-44CF-A9E5-8EAFFA63188B}">
          <x14:formula1>
            <xm:f>Hoja1!$R$3:$R$6</xm:f>
          </x14:formula1>
          <xm:sqref>D9:E9</xm:sqref>
        </x14:dataValidation>
        <x14:dataValidation type="list" allowBlank="1" showInputMessage="1" showErrorMessage="1" xr:uid="{DAEE93DA-BF9D-4D0C-B41F-D809C3AAEA86}">
          <x14:formula1>
            <xm:f>Hoja1!$N$3:$N$5</xm:f>
          </x14:formula1>
          <xm:sqref>H13:L13</xm:sqref>
        </x14:dataValidation>
        <x14:dataValidation type="list" allowBlank="1" showInputMessage="1" showErrorMessage="1" prompt="Si se usaron 2 tipos de APD distintos, seleccione la opción &quot;Especial&quot; e indique el detalle en observaciones." xr:uid="{00000000-0002-0000-0000-000004000000}">
          <x14:formula1>
            <xm:f>Hoja1!#REF!</xm:f>
          </x14:formula1>
          <xm:sqref>T84 T105:T143</xm:sqref>
        </x14:dataValidation>
        <x14:dataValidation type="list" allowBlank="1" showErrorMessage="1" prompt="Ingrese los metro de cama de explosivo._x000a_" xr:uid="{E5284934-7B35-4D34-9C20-B3C696F9C663}">
          <x14:formula1>
            <xm:f>Hoja1!$P$3:$P$6</xm:f>
          </x14:formula1>
          <xm:sqref>Y16:Y83</xm:sqref>
        </x14:dataValidation>
        <x14:dataValidation type="list" allowBlank="1" showErrorMessage="1" prompt="Ingrese los metro de cama de explosivo._x000a_" xr:uid="{32B9E3C7-BF07-46D0-BEB0-76033BC657DA}">
          <x14:formula1>
            <xm:f>Hoja1!$B$3:$B$4</xm:f>
          </x14:formula1>
          <xm:sqref>X16:X30</xm:sqref>
        </x14:dataValidation>
        <x14:dataValidation type="list" allowBlank="1" showInputMessage="1" showErrorMessage="1" xr:uid="{291BA0C8-D7CD-4837-BBA5-EF89010C73F0}">
          <x14:formula1>
            <xm:f>Hoja1!$T$3:$T$7</xm:f>
          </x14:formula1>
          <xm:sqref>O8:P8</xm:sqref>
        </x14:dataValidation>
        <x14:dataValidation type="list" allowBlank="1" showInputMessage="1" showErrorMessage="1" xr:uid="{5C4DA136-851A-4A8E-BC28-37C60A48847F}">
          <x14:formula1>
            <xm:f>Hoja1!$U$3:$U$4</xm:f>
          </x14:formula1>
          <xm:sqref>AD16:AD83</xm:sqref>
        </x14:dataValidation>
        <x14:dataValidation type="list" allowBlank="1" showInputMessage="1" showErrorMessage="1" xr:uid="{FE5D3D8A-676D-4866-ADC7-2DD94AAAFAD6}">
          <x14:formula1>
            <xm:f>Hoja1!$V$3:$V$12</xm:f>
          </x14:formula1>
          <xm:sqref>AE16:AE83</xm:sqref>
        </x14:dataValidation>
        <x14:dataValidation type="list" allowBlank="1" showInputMessage="1" showErrorMessage="1" xr:uid="{98693AD0-C14E-4929-9EF8-769A1280F022}">
          <x14:formula1>
            <xm:f>Hoja1!$W$3:$W$5</xm:f>
          </x14:formula1>
          <xm:sqref>AG16:AG83</xm:sqref>
        </x14:dataValidation>
        <x14:dataValidation type="list" allowBlank="1" showInputMessage="1" showErrorMessage="1" xr:uid="{DEF2538A-F357-488E-B273-CE465E85DB36}">
          <x14:formula1>
            <xm:f>Hoja1!$X$3:$X$6</xm:f>
          </x14:formula1>
          <xm:sqref>AI16:AI83</xm:sqref>
        </x14:dataValidation>
        <x14:dataValidation type="list" allowBlank="1" showInputMessage="1" showErrorMessage="1" xr:uid="{9596F627-4F43-47F9-962A-6D822838264F}">
          <x14:formula1>
            <xm:f>Hoja1!$Y$3:$Y$7</xm:f>
          </x14:formula1>
          <xm:sqref>AK16:AK83</xm:sqref>
        </x14:dataValidation>
        <x14:dataValidation type="list" allowBlank="1" showInputMessage="1" showErrorMessage="1" xr:uid="{72973053-F30E-45AD-BBF1-B7B274B6803A}">
          <x14:formula1>
            <xm:f>Hoja1!$Z$3:$Z$23</xm:f>
          </x14:formula1>
          <xm:sqref>AM16:AM83</xm:sqref>
        </x14:dataValidation>
        <x14:dataValidation type="list" allowBlank="1" showErrorMessage="1" prompt="Ingrese si el tiro actual se esta cargando con la primera, segunda, tercera...etc. pera_x000a_" xr:uid="{AF998246-7762-4A32-9C41-384CAFACA19F}">
          <x14:formula1>
            <xm:f>Hoja1!$A$3:$A$49</xm:f>
          </x14:formula1>
          <xm:sqref>E16 G16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JEJ</vt:lpstr>
      <vt:lpstr>JEJ!Área_de_impresión</vt:lpstr>
      <vt:lpstr>JEJ!Títulos_a_imprimir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espinoza</dc:creator>
  <cp:keywords/>
  <dc:description/>
  <cp:lastModifiedBy>Alexis de Jesús Salinas Fredes</cp:lastModifiedBy>
  <cp:revision/>
  <cp:lastPrinted>2023-08-10T20:18:55Z</cp:lastPrinted>
  <dcterms:created xsi:type="dcterms:W3CDTF">2015-06-05T18:19:34Z</dcterms:created>
  <dcterms:modified xsi:type="dcterms:W3CDTF">2026-09-30T21:28:43Z</dcterms:modified>
  <cp:category/>
  <cp:contentStatus/>
</cp:coreProperties>
</file>