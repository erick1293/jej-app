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lin\Downloads\"/>
    </mc:Choice>
  </mc:AlternateContent>
  <xr:revisionPtr revIDLastSave="0" documentId="13_ncr:1_{0159C575-1EF4-4492-B69D-508DD56644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6" r:id="rId1"/>
    <sheet name="JEJ" sheetId="5" r:id="rId2"/>
  </sheets>
  <definedNames>
    <definedName name="_xlnm._FilterDatabase" localSheetId="1" hidden="1">JEJ!$B$16:$B$144</definedName>
    <definedName name="_xlnm.Print_Area" localSheetId="1">JEJ!$B$2:$T$144</definedName>
    <definedName name="_xlnm.Print_Titles" localSheetId="1">JEJ!$5:$5</definedName>
    <definedName name="Z_1C4D8BDC_C480_45E4_96CA_CEB66E1C55C9_.wvu.PrintArea" localSheetId="1" hidden="1">JEJ!$B$2:$P$144</definedName>
    <definedName name="Z_1C4D8BDC_C480_45E4_96CA_CEB66E1C55C9_.wvu.PrintTitles" localSheetId="1" hidden="1">JEJ!$5:$5</definedName>
    <definedName name="Z_3E8DE444_E750_4CD6_A7EB_BB0CD4A4469F_.wvu.PrintArea" localSheetId="1" hidden="1">JEJ!$B$2:$P$144</definedName>
    <definedName name="Z_3E8DE444_E750_4CD6_A7EB_BB0CD4A4469F_.wvu.PrintTitles" localSheetId="1" hidden="1">JEJ!$5:$5</definedName>
    <definedName name="Z_7C0283FF_2B93_496F_87E4_6E1870BB64E4_.wvu.PrintArea" localSheetId="1" hidden="1">JEJ!$B$2:$P$144</definedName>
    <definedName name="Z_7C0283FF_2B93_496F_87E4_6E1870BB64E4_.wvu.PrintTitles" localSheetId="1" hidden="1">JEJ!$5:$5</definedName>
    <definedName name="Z_A0012712_DB49_4D87_9FE3_C63336A64E80_.wvu.PrintArea" localSheetId="1" hidden="1">JEJ!$B$2:$P$144</definedName>
    <definedName name="Z_A0012712_DB49_4D87_9FE3_C63336A64E80_.wvu.PrintTitles" localSheetId="1" hidden="1">JEJ!$5:$5</definedName>
    <definedName name="Z_B0E908B2_CADA_4CE9_8457_AC2FAA9A5234_.wvu.PrintArea" localSheetId="1" hidden="1">JEJ!$B$2:$P$144</definedName>
    <definedName name="Z_B0E908B2_CADA_4CE9_8457_AC2FAA9A5234_.wvu.PrintTitles" localSheetId="1" hidden="1">JEJ!$5:$5</definedName>
    <definedName name="Z_C249970D_876A_4076_B7E8_3FB99D323B9B_.wvu.PrintArea" localSheetId="1" hidden="1">JEJ!$B$2:$P$144</definedName>
    <definedName name="Z_C249970D_876A_4076_B7E8_3FB99D323B9B_.wvu.PrintTitles" localSheetId="1" hidden="1">JEJ!$5:$5</definedName>
    <definedName name="Z_DD01898E_1B73_4B19_A1DE_D95BF163E838_.wvu.PrintArea" localSheetId="1" hidden="1">JEJ!$B$2:$P$144</definedName>
    <definedName name="Z_DD01898E_1B73_4B19_A1DE_D95BF163E838_.wvu.PrintTitles" localSheetId="1" hidden="1">JEJ!$5:$5</definedName>
    <definedName name="Z_E2015BE2_6027_4992_A0CB_E4BBE16F6656_.wvu.PrintArea" localSheetId="1" hidden="1">JEJ!$B$2:$P$144</definedName>
    <definedName name="Z_E2015BE2_6027_4992_A0CB_E4BBE16F6656_.wvu.PrintTitles" localSheetId="1" hidden="1">JEJ!$5:$5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17" i="5"/>
  <c r="Y13" i="5"/>
  <c r="Y9" i="5"/>
  <c r="Y10" i="5"/>
  <c r="Y11" i="5"/>
  <c r="Y12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21" i="5"/>
  <c r="G19" i="5"/>
  <c r="G20" i="5"/>
  <c r="G17" i="5"/>
  <c r="Y8" i="5"/>
  <c r="Y14" i="5"/>
  <c r="Y15" i="5"/>
  <c r="Y7" i="5"/>
</calcChain>
</file>

<file path=xl/sharedStrings.xml><?xml version="1.0" encoding="utf-8"?>
<sst xmlns="http://schemas.openxmlformats.org/spreadsheetml/2006/main" count="152" uniqueCount="139">
  <si>
    <t>J. E. J. INGENIERÍA S. A. CONTRATO N° 4600026097</t>
  </si>
  <si>
    <t>SERVICIO QA/QC OPERACIONES DE PERFORACIÓN Y TRONADURA</t>
  </si>
  <si>
    <t>PARADA</t>
  </si>
  <si>
    <t>TIRO</t>
  </si>
  <si>
    <t>CANT. RETENEDORES (GREDAD)</t>
  </si>
  <si>
    <t>N° PERA</t>
  </si>
  <si>
    <t>TIPO APD</t>
  </si>
  <si>
    <t>ESTADO TIRO</t>
  </si>
  <si>
    <t>TIRO CON AGUA</t>
  </si>
  <si>
    <t>TIRO NEGATIVO ó POSITIVO</t>
  </si>
  <si>
    <t>Especial</t>
  </si>
  <si>
    <t>Sano</t>
  </si>
  <si>
    <t>Roto</t>
  </si>
  <si>
    <t>Cortado</t>
  </si>
  <si>
    <t>Perdido</t>
  </si>
  <si>
    <t>Agrietado</t>
  </si>
  <si>
    <t>Seco</t>
  </si>
  <si>
    <t>Agua</t>
  </si>
  <si>
    <t>Agua Dinamica</t>
  </si>
  <si>
    <t>Negativo</t>
  </si>
  <si>
    <t>Positivo</t>
  </si>
  <si>
    <t>Metros Cama ANFO</t>
  </si>
  <si>
    <t>JEFE TURNO JEJ</t>
  </si>
  <si>
    <t>ENCARGADO SEGUIMIENTO</t>
  </si>
  <si>
    <t>Victor Hernández</t>
  </si>
  <si>
    <t>Carlos castro</t>
  </si>
  <si>
    <t>Esmeralda</t>
  </si>
  <si>
    <t>Andesita</t>
  </si>
  <si>
    <t>Diamante</t>
  </si>
  <si>
    <t>NNM</t>
  </si>
  <si>
    <t>TT8</t>
  </si>
  <si>
    <t>Pilar Norte</t>
  </si>
  <si>
    <t>A</t>
  </si>
  <si>
    <t>B</t>
  </si>
  <si>
    <t>ARAÑA EN CEBO</t>
  </si>
  <si>
    <t>No</t>
  </si>
  <si>
    <t>Si</t>
  </si>
  <si>
    <t>Corto</t>
  </si>
  <si>
    <t>Fecha</t>
  </si>
  <si>
    <t>Hector Flores</t>
  </si>
  <si>
    <t>Raimundo Silva</t>
  </si>
  <si>
    <t>Alexis Salinas</t>
  </si>
  <si>
    <t>Nicolas Escudero</t>
  </si>
  <si>
    <t>Alex muñoz</t>
  </si>
  <si>
    <t>Angel Galleguillos</t>
  </si>
  <si>
    <t>Joaquin Peña</t>
  </si>
  <si>
    <t>Mina</t>
  </si>
  <si>
    <t>Estrecho</t>
  </si>
  <si>
    <t>MINA</t>
  </si>
  <si>
    <t>TURNO</t>
  </si>
  <si>
    <t>Supervisor JeJ</t>
  </si>
  <si>
    <t>Encargado Seguimiento JeJ</t>
  </si>
  <si>
    <t>Supervisor DET</t>
  </si>
  <si>
    <t>WebGen</t>
  </si>
  <si>
    <t>H Llegada JeJ a Postura</t>
  </si>
  <si>
    <t>H Salida JeJ de Postura</t>
  </si>
  <si>
    <t>H Llegada PyT a Postura</t>
  </si>
  <si>
    <t>H Salida PyT de Postura</t>
  </si>
  <si>
    <t>Tiempo en Postura</t>
  </si>
  <si>
    <t>Diámetro de Carguío [pulg]</t>
  </si>
  <si>
    <t>TIRO NEGATIVO / POSITIVO</t>
  </si>
  <si>
    <t>Molido</t>
  </si>
  <si>
    <t>s/i</t>
  </si>
  <si>
    <t>Cantidad de Cartuchos</t>
  </si>
  <si>
    <t>Cartón</t>
  </si>
  <si>
    <t>Tipo Retendor</t>
  </si>
  <si>
    <t>Greda</t>
  </si>
  <si>
    <t>Bolsa</t>
  </si>
  <si>
    <t>Longitud Taco</t>
  </si>
  <si>
    <t>Nivel</t>
  </si>
  <si>
    <t>Bloque</t>
  </si>
  <si>
    <t>Tuno</t>
  </si>
  <si>
    <t>UCL</t>
  </si>
  <si>
    <t>NP</t>
  </si>
  <si>
    <t>B-2</t>
  </si>
  <si>
    <t>B-6</t>
  </si>
  <si>
    <t>Ext Fw</t>
  </si>
  <si>
    <t>Panel 2</t>
  </si>
  <si>
    <t>Diablo Regimiento</t>
  </si>
  <si>
    <t>Pacífico Superior</t>
  </si>
  <si>
    <t>Reservas Norte</t>
  </si>
  <si>
    <t>DHz</t>
  </si>
  <si>
    <t>TIEMPO</t>
  </si>
  <si>
    <t>OTRAS OBSERVACIONES EN TERRENO</t>
  </si>
  <si>
    <t>Explosivo</t>
  </si>
  <si>
    <t>AnFo</t>
  </si>
  <si>
    <t>Emulsión</t>
  </si>
  <si>
    <t>Núm. Zanja</t>
  </si>
  <si>
    <t xml:space="preserve">Calles Zanja </t>
  </si>
  <si>
    <t>Fase</t>
  </si>
  <si>
    <t>Calle UCL</t>
  </si>
  <si>
    <t>Parada Inicial</t>
  </si>
  <si>
    <t>Parada Final (neg)</t>
  </si>
  <si>
    <t>Lianza</t>
  </si>
  <si>
    <t>Arañas Inferior</t>
  </si>
  <si>
    <t>Sacos</t>
  </si>
  <si>
    <t>Gredas</t>
  </si>
  <si>
    <t>Cama de Explosivo</t>
  </si>
  <si>
    <t>Sí</t>
  </si>
  <si>
    <t>Kg/m</t>
  </si>
  <si>
    <t>ID Tronadura</t>
  </si>
  <si>
    <t>HOJA DE TERRENO CONTROL DE PERFORACIÓN</t>
  </si>
  <si>
    <t>H Inicio Perforación</t>
  </si>
  <si>
    <t>H Fin Perforación</t>
  </si>
  <si>
    <t>Diámetro Perforación [pulg]</t>
  </si>
  <si>
    <t>Tiempo en Perforación</t>
  </si>
  <si>
    <t>Caudal agua barrido (m3/min)</t>
  </si>
  <si>
    <t>Empuje o pulldown (psi)</t>
  </si>
  <si>
    <t>Rotación (RPM)</t>
  </si>
  <si>
    <t>Presión de agua (bar)</t>
  </si>
  <si>
    <t>Percusión martillo (golpes/min)</t>
  </si>
  <si>
    <t>Presión de fluido hidraulico (bar)</t>
  </si>
  <si>
    <t>Mts Diseño</t>
  </si>
  <si>
    <t>Taco teórico</t>
  </si>
  <si>
    <t>Mts Perforados</t>
  </si>
  <si>
    <t>Cumplimiento para carga de diseño</t>
  </si>
  <si>
    <t>Problemas durante la perforación</t>
  </si>
  <si>
    <t>Altura barra pegada</t>
  </si>
  <si>
    <t>Observaciones</t>
  </si>
  <si>
    <t>Hora Inicio</t>
  </si>
  <si>
    <t>Hora Termino</t>
  </si>
  <si>
    <t>Pérdida Operacional Durante la perforación</t>
  </si>
  <si>
    <t>Barra Pegada</t>
  </si>
  <si>
    <t>Repasos</t>
  </si>
  <si>
    <t>Cambio Bit</t>
  </si>
  <si>
    <t>Cambio Barras</t>
  </si>
  <si>
    <t>Equipo fuera servicio</t>
  </si>
  <si>
    <t>Perforista DET</t>
  </si>
  <si>
    <t>MTS ENTUBADOS</t>
  </si>
  <si>
    <t>ID Del Equipo de Perforación</t>
  </si>
  <si>
    <t>Presión de Percusión [bar]</t>
  </si>
  <si>
    <t>Presión de Rotación [bar]</t>
  </si>
  <si>
    <t>Presión de Avance [bar]</t>
  </si>
  <si>
    <t>Presión de Agua [bar]</t>
  </si>
  <si>
    <t>Presión de Compresor de Aceite [bar]</t>
  </si>
  <si>
    <t>Tiempo Perforación del Tiro</t>
  </si>
  <si>
    <t>ÁNGULO ABATIMIENTO</t>
  </si>
  <si>
    <t>ÁNGULO ROTACIÓN</t>
  </si>
  <si>
    <t>Velocidad de Avance [m/tiempo]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</si>
</sst>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4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AE4B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6" fillId="0" borderId="0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4" borderId="1" xfId="2" applyFont="1" applyFill="1" applyBorder="1" applyAlignment="1" applyProtection="1">
      <alignment horizontal="center" vertical="center"/>
      <protection locked="0"/>
    </xf>
    <xf numFmtId="165" fontId="10" fillId="0" borderId="9" xfId="1" applyNumberFormat="1" applyFont="1" applyBorder="1" applyAlignment="1" applyProtection="1">
      <alignment horizontal="center" vertical="center"/>
      <protection locked="0"/>
    </xf>
    <xf numFmtId="165" fontId="10" fillId="0" borderId="17" xfId="1" applyNumberFormat="1" applyFont="1" applyBorder="1" applyAlignment="1" applyProtection="1">
      <alignment horizontal="center" vertical="center"/>
      <protection locked="0"/>
    </xf>
    <xf numFmtId="0" fontId="13" fillId="4" borderId="0" xfId="2" applyFont="1" applyFill="1" applyBorder="1" applyAlignment="1" applyProtection="1">
      <alignment horizontal="center" vertical="center"/>
      <protection locked="0"/>
    </xf>
    <xf numFmtId="12" fontId="0" fillId="0" borderId="0" xfId="0" applyNumberFormat="1" applyAlignment="1">
      <alignment horizontal="center" vertical="center"/>
    </xf>
    <xf numFmtId="0" fontId="12" fillId="3" borderId="18" xfId="1" applyFont="1" applyFill="1" applyBorder="1" applyAlignment="1" applyProtection="1">
      <alignment horizontal="left" vertical="center"/>
      <protection locked="0"/>
    </xf>
    <xf numFmtId="0" fontId="12" fillId="3" borderId="7" xfId="1" applyFont="1" applyFill="1" applyBorder="1" applyAlignment="1" applyProtection="1">
      <alignment horizontal="center" vertical="center"/>
      <protection locked="0"/>
    </xf>
    <xf numFmtId="0" fontId="12" fillId="3" borderId="12" xfId="1" applyFont="1" applyFill="1" applyBorder="1" applyAlignment="1" applyProtection="1">
      <alignment horizontal="center" vertical="center"/>
      <protection locked="0"/>
    </xf>
    <xf numFmtId="0" fontId="12" fillId="3" borderId="22" xfId="1" applyFont="1" applyFill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12" fillId="10" borderId="20" xfId="1" applyFont="1" applyFill="1" applyBorder="1" applyAlignment="1" applyProtection="1">
      <alignment horizontal="left" vertical="center"/>
      <protection locked="0"/>
    </xf>
    <xf numFmtId="20" fontId="12" fillId="13" borderId="12" xfId="1" applyNumberFormat="1" applyFont="1" applyFill="1" applyBorder="1" applyAlignment="1" applyProtection="1">
      <alignment horizontal="center" vertical="center"/>
      <protection locked="0"/>
    </xf>
    <xf numFmtId="20" fontId="12" fillId="13" borderId="7" xfId="1" applyNumberFormat="1" applyFont="1" applyFill="1" applyBorder="1" applyAlignment="1" applyProtection="1">
      <alignment horizontal="center" vertical="center"/>
      <protection locked="0"/>
    </xf>
    <xf numFmtId="165" fontId="12" fillId="13" borderId="15" xfId="1" applyNumberFormat="1" applyFont="1" applyFill="1" applyBorder="1" applyAlignment="1" applyProtection="1">
      <alignment horizontal="center" vertical="center"/>
      <protection locked="0"/>
    </xf>
    <xf numFmtId="2" fontId="12" fillId="13" borderId="15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20" fontId="11" fillId="3" borderId="19" xfId="0" applyNumberFormat="1" applyFont="1" applyFill="1" applyBorder="1" applyAlignment="1" applyProtection="1">
      <alignment horizontal="center" vertical="center" wrapText="1"/>
      <protection locked="0"/>
    </xf>
    <xf numFmtId="0" fontId="7" fillId="9" borderId="35" xfId="0" applyFont="1" applyFill="1" applyBorder="1" applyAlignment="1" applyProtection="1">
      <alignment vertical="center" wrapText="1"/>
      <protection locked="0"/>
    </xf>
    <xf numFmtId="20" fontId="11" fillId="3" borderId="17" xfId="0" applyNumberFormat="1" applyFont="1" applyFill="1" applyBorder="1" applyAlignment="1" applyProtection="1">
      <alignment horizontal="center" vertical="center" wrapText="1"/>
      <protection locked="0"/>
    </xf>
    <xf numFmtId="165" fontId="11" fillId="3" borderId="27" xfId="0" applyNumberFormat="1" applyFont="1" applyFill="1" applyBorder="1" applyAlignment="1" applyProtection="1">
      <alignment horizontal="center" vertical="center" wrapText="1"/>
      <protection locked="0"/>
    </xf>
    <xf numFmtId="165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165" fontId="11" fillId="3" borderId="17" xfId="0" applyNumberFormat="1" applyFont="1" applyFill="1" applyBorder="1" applyAlignment="1" applyProtection="1">
      <alignment horizontal="center" vertical="center" wrapText="1"/>
      <protection locked="0"/>
    </xf>
    <xf numFmtId="165" fontId="11" fillId="8" borderId="12" xfId="0" applyNumberFormat="1" applyFont="1" applyFill="1" applyBorder="1" applyAlignment="1" applyProtection="1">
      <alignment horizontal="center" vertical="center" wrapText="1"/>
      <protection locked="0"/>
    </xf>
    <xf numFmtId="165" fontId="11" fillId="8" borderId="15" xfId="0" applyNumberFormat="1" applyFont="1" applyFill="1" applyBorder="1" applyAlignment="1" applyProtection="1">
      <alignment horizontal="center" vertical="center" wrapText="1"/>
      <protection locked="0"/>
    </xf>
    <xf numFmtId="0" fontId="11" fillId="13" borderId="12" xfId="0" applyFont="1" applyFill="1" applyBorder="1" applyAlignment="1" applyProtection="1">
      <alignment horizontal="center" vertical="center" wrapText="1"/>
      <protection locked="0"/>
    </xf>
    <xf numFmtId="0" fontId="11" fillId="6" borderId="29" xfId="0" applyFont="1" applyFill="1" applyBorder="1" applyAlignment="1" applyProtection="1">
      <alignment horizontal="center" vertical="center" wrapText="1"/>
      <protection locked="0"/>
    </xf>
    <xf numFmtId="0" fontId="11" fillId="13" borderId="7" xfId="0" applyFont="1" applyFill="1" applyBorder="1" applyAlignment="1" applyProtection="1">
      <alignment horizontal="center" vertical="center" wrapText="1"/>
      <protection locked="0"/>
    </xf>
    <xf numFmtId="0" fontId="11" fillId="13" borderId="15" xfId="0" applyFont="1" applyFill="1" applyBorder="1" applyAlignment="1" applyProtection="1">
      <alignment horizontal="center" vertical="center" wrapText="1"/>
      <protection locked="0"/>
    </xf>
    <xf numFmtId="0" fontId="7" fillId="7" borderId="25" xfId="0" applyFont="1" applyFill="1" applyBorder="1" applyAlignment="1" applyProtection="1">
      <alignment horizontal="center" vertical="center" wrapText="1"/>
      <protection locked="0"/>
    </xf>
    <xf numFmtId="0" fontId="7" fillId="7" borderId="26" xfId="0" applyFont="1" applyFill="1" applyBorder="1" applyAlignment="1" applyProtection="1">
      <alignment horizontal="center" vertical="center" wrapText="1"/>
      <protection locked="0"/>
    </xf>
    <xf numFmtId="0" fontId="7" fillId="10" borderId="26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7" fillId="5" borderId="39" xfId="0" applyFont="1" applyFill="1" applyBorder="1" applyAlignment="1" applyProtection="1">
      <alignment horizontal="center" vertical="center" wrapText="1"/>
      <protection locked="0"/>
    </xf>
    <xf numFmtId="0" fontId="7" fillId="12" borderId="39" xfId="0" applyFont="1" applyFill="1" applyBorder="1" applyAlignment="1" applyProtection="1">
      <alignment horizontal="center" vertical="center" wrapText="1"/>
      <protection locked="0"/>
    </xf>
    <xf numFmtId="1" fontId="9" fillId="4" borderId="10" xfId="2" applyNumberFormat="1" applyFont="1" applyFill="1" applyBorder="1" applyAlignment="1" applyProtection="1">
      <alignment horizontal="center" vertical="center"/>
      <protection locked="0"/>
    </xf>
    <xf numFmtId="1" fontId="9" fillId="4" borderId="1" xfId="2" applyNumberFormat="1" applyFont="1" applyFill="1" applyBorder="1" applyAlignment="1" applyProtection="1">
      <alignment horizontal="center" vertical="center"/>
      <protection locked="0"/>
    </xf>
    <xf numFmtId="164" fontId="9" fillId="4" borderId="1" xfId="2" applyNumberFormat="1" applyFont="1" applyFill="1" applyBorder="1" applyAlignment="1" applyProtection="1">
      <alignment horizontal="center" vertical="center"/>
      <protection locked="0"/>
    </xf>
    <xf numFmtId="164" fontId="6" fillId="0" borderId="0" xfId="2" applyNumberFormat="1" applyFont="1" applyFill="1" applyBorder="1" applyAlignment="1" applyProtection="1">
      <alignment horizontal="center" vertical="center"/>
      <protection locked="0"/>
    </xf>
    <xf numFmtId="164" fontId="4" fillId="0" borderId="0" xfId="1" applyNumberFormat="1" applyFont="1" applyAlignment="1" applyProtection="1">
      <alignment horizontal="center" vertical="center"/>
      <protection locked="0"/>
    </xf>
    <xf numFmtId="164" fontId="10" fillId="4" borderId="0" xfId="1" applyNumberFormat="1" applyFont="1" applyFill="1" applyAlignment="1" applyProtection="1">
      <alignment horizontal="center" vertical="center"/>
      <protection locked="0"/>
    </xf>
    <xf numFmtId="164" fontId="13" fillId="4" borderId="0" xfId="2" applyNumberFormat="1" applyFont="1" applyFill="1" applyBorder="1" applyAlignment="1" applyProtection="1">
      <alignment horizontal="center" vertical="center"/>
      <protection locked="0"/>
    </xf>
    <xf numFmtId="9" fontId="9" fillId="4" borderId="1" xfId="3" applyFont="1" applyFill="1" applyBorder="1" applyAlignment="1" applyProtection="1">
      <alignment horizontal="center" vertical="center"/>
    </xf>
    <xf numFmtId="0" fontId="7" fillId="14" borderId="39" xfId="0" applyFont="1" applyFill="1" applyBorder="1" applyAlignment="1" applyProtection="1">
      <alignment horizontal="center" vertical="center" wrapText="1"/>
      <protection locked="0"/>
    </xf>
    <xf numFmtId="1" fontId="11" fillId="13" borderId="12" xfId="0" applyNumberFormat="1" applyFont="1" applyFill="1" applyBorder="1" applyAlignment="1" applyProtection="1">
      <alignment horizontal="center" vertical="center" wrapText="1"/>
      <protection locked="0"/>
    </xf>
    <xf numFmtId="164" fontId="11" fillId="13" borderId="7" xfId="0" applyNumberFormat="1" applyFont="1" applyFill="1" applyBorder="1" applyAlignment="1" applyProtection="1">
      <alignment horizontal="center" vertical="center" wrapText="1"/>
      <protection locked="0"/>
    </xf>
    <xf numFmtId="164" fontId="11" fillId="13" borderId="22" xfId="0" applyNumberFormat="1" applyFont="1" applyFill="1" applyBorder="1" applyAlignment="1" applyProtection="1">
      <alignment horizontal="center" vertical="center" wrapText="1"/>
      <protection locked="0"/>
    </xf>
    <xf numFmtId="2" fontId="11" fillId="13" borderId="15" xfId="0" applyNumberFormat="1" applyFont="1" applyFill="1" applyBorder="1" applyAlignment="1" applyProtection="1">
      <alignment horizontal="center" vertical="center" wrapText="1"/>
      <protection locked="0"/>
    </xf>
    <xf numFmtId="164" fontId="12" fillId="13" borderId="12" xfId="1" applyNumberFormat="1" applyFont="1" applyFill="1" applyBorder="1" applyAlignment="1" applyProtection="1">
      <alignment horizontal="center" vertical="center" wrapText="1"/>
      <protection locked="0"/>
    </xf>
    <xf numFmtId="164" fontId="10" fillId="4" borderId="1" xfId="1" applyNumberFormat="1" applyFont="1" applyFill="1" applyBorder="1" applyAlignment="1">
      <alignment horizontal="center" vertical="center"/>
    </xf>
    <xf numFmtId="0" fontId="14" fillId="15" borderId="39" xfId="0" applyFont="1" applyFill="1" applyBorder="1" applyAlignment="1" applyProtection="1">
      <alignment horizontal="center" vertical="center" wrapText="1"/>
      <protection locked="0"/>
    </xf>
    <xf numFmtId="0" fontId="7" fillId="16" borderId="1" xfId="0" applyFont="1" applyFill="1" applyBorder="1" applyAlignment="1" applyProtection="1">
      <alignment horizontal="center" vertical="center" wrapText="1"/>
      <protection locked="0"/>
    </xf>
    <xf numFmtId="0" fontId="14" fillId="17" borderId="39" xfId="0" applyFont="1" applyFill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/>
      <protection locked="0"/>
    </xf>
    <xf numFmtId="20" fontId="9" fillId="4" borderId="1" xfId="2" applyNumberFormat="1" applyFont="1" applyFill="1" applyBorder="1" applyAlignment="1" applyProtection="1">
      <alignment horizontal="center" vertical="center"/>
      <protection locked="0"/>
    </xf>
    <xf numFmtId="16" fontId="9" fillId="4" borderId="1" xfId="2" applyNumberFormat="1" applyFont="1" applyFill="1" applyBorder="1" applyAlignment="1" applyProtection="1">
      <alignment horizontal="center" vertical="center"/>
      <protection locked="0"/>
    </xf>
    <xf numFmtId="0" fontId="11" fillId="3" borderId="18" xfId="0" applyFont="1" applyFill="1" applyBorder="1" applyAlignment="1" applyProtection="1">
      <alignment horizontal="left" vertical="center" wrapText="1"/>
      <protection locked="0"/>
    </xf>
    <xf numFmtId="0" fontId="11" fillId="3" borderId="11" xfId="0" applyFont="1" applyFill="1" applyBorder="1" applyAlignment="1" applyProtection="1">
      <alignment horizontal="left" vertical="center" wrapText="1"/>
      <protection locked="0"/>
    </xf>
    <xf numFmtId="0" fontId="11" fillId="6" borderId="20" xfId="0" applyFont="1" applyFill="1" applyBorder="1" applyAlignment="1" applyProtection="1">
      <alignment horizontal="left" vertical="center" wrapText="1"/>
      <protection locked="0"/>
    </xf>
    <xf numFmtId="0" fontId="11" fillId="6" borderId="14" xfId="0" applyFont="1" applyFill="1" applyBorder="1" applyAlignment="1" applyProtection="1">
      <alignment horizontal="left" vertical="center" wrapText="1"/>
      <protection locked="0"/>
    </xf>
    <xf numFmtId="0" fontId="11" fillId="3" borderId="33" xfId="0" applyFont="1" applyFill="1" applyBorder="1" applyAlignment="1" applyProtection="1">
      <alignment horizontal="left" vertical="center" wrapText="1"/>
      <protection locked="0"/>
    </xf>
    <xf numFmtId="0" fontId="11" fillId="3" borderId="30" xfId="0" applyFont="1" applyFill="1" applyBorder="1" applyAlignment="1" applyProtection="1">
      <alignment horizontal="left" vertical="center" wrapText="1"/>
      <protection locked="0"/>
    </xf>
    <xf numFmtId="0" fontId="12" fillId="10" borderId="15" xfId="1" applyFont="1" applyFill="1" applyBorder="1" applyAlignment="1" applyProtection="1">
      <alignment horizontal="center" vertical="center"/>
      <protection locked="0"/>
    </xf>
    <xf numFmtId="0" fontId="12" fillId="10" borderId="36" xfId="1" applyFont="1" applyFill="1" applyBorder="1" applyAlignment="1" applyProtection="1">
      <alignment horizontal="center" vertical="center"/>
      <protection locked="0"/>
    </xf>
    <xf numFmtId="0" fontId="4" fillId="3" borderId="12" xfId="1" applyFont="1" applyFill="1" applyBorder="1" applyAlignment="1" applyProtection="1">
      <alignment horizontal="center" vertical="center"/>
      <protection locked="0"/>
    </xf>
    <xf numFmtId="0" fontId="4" fillId="3" borderId="34" xfId="1" applyFont="1" applyFill="1" applyBorder="1" applyAlignment="1" applyProtection="1">
      <alignment horizontal="center" vertical="center"/>
      <protection locked="0"/>
    </xf>
    <xf numFmtId="0" fontId="12" fillId="3" borderId="28" xfId="1" applyFont="1" applyFill="1" applyBorder="1" applyAlignment="1" applyProtection="1">
      <alignment horizontal="left" vertical="center"/>
      <protection locked="0"/>
    </xf>
    <xf numFmtId="0" fontId="12" fillId="3" borderId="13" xfId="1" applyFont="1" applyFill="1" applyBorder="1" applyAlignment="1" applyProtection="1">
      <alignment horizontal="left" vertical="center"/>
      <protection locked="0"/>
    </xf>
    <xf numFmtId="0" fontId="12" fillId="3" borderId="23" xfId="1" applyFont="1" applyFill="1" applyBorder="1" applyAlignment="1" applyProtection="1">
      <alignment horizontal="left" vertical="center"/>
      <protection locked="0"/>
    </xf>
    <xf numFmtId="0" fontId="12" fillId="3" borderId="21" xfId="1" applyFont="1" applyFill="1" applyBorder="1" applyAlignment="1" applyProtection="1">
      <alignment horizontal="left" vertical="center"/>
      <protection locked="0"/>
    </xf>
    <xf numFmtId="0" fontId="11" fillId="13" borderId="20" xfId="0" applyFont="1" applyFill="1" applyBorder="1" applyAlignment="1" applyProtection="1">
      <alignment horizontal="center" vertical="center" wrapText="1"/>
      <protection locked="0"/>
    </xf>
    <xf numFmtId="0" fontId="11" fillId="13" borderId="14" xfId="0" applyFont="1" applyFill="1" applyBorder="1" applyAlignment="1" applyProtection="1">
      <alignment horizontal="center" vertical="center" wrapText="1"/>
      <protection locked="0"/>
    </xf>
    <xf numFmtId="0" fontId="12" fillId="3" borderId="10" xfId="1" applyFont="1" applyFill="1" applyBorder="1" applyAlignment="1" applyProtection="1">
      <alignment horizontal="left" vertical="center"/>
      <protection locked="0"/>
    </xf>
    <xf numFmtId="0" fontId="11" fillId="13" borderId="18" xfId="0" applyFont="1" applyFill="1" applyBorder="1" applyAlignment="1" applyProtection="1">
      <alignment vertical="center" wrapText="1"/>
      <protection locked="0"/>
    </xf>
    <xf numFmtId="0" fontId="11" fillId="13" borderId="11" xfId="0" applyFont="1" applyFill="1" applyBorder="1" applyAlignment="1" applyProtection="1">
      <alignment vertical="center" wrapText="1"/>
      <protection locked="0"/>
    </xf>
    <xf numFmtId="0" fontId="11" fillId="13" borderId="20" xfId="0" applyFont="1" applyFill="1" applyBorder="1" applyAlignment="1" applyProtection="1">
      <alignment horizontal="left" vertical="center" wrapText="1"/>
      <protection locked="0"/>
    </xf>
    <xf numFmtId="0" fontId="11" fillId="13" borderId="14" xfId="0" applyFont="1" applyFill="1" applyBorder="1" applyAlignment="1" applyProtection="1">
      <alignment horizontal="left" vertical="center" wrapText="1"/>
      <protection locked="0"/>
    </xf>
    <xf numFmtId="0" fontId="12" fillId="13" borderId="20" xfId="1" applyFont="1" applyFill="1" applyBorder="1" applyAlignment="1" applyProtection="1">
      <alignment horizontal="left" vertical="center" wrapText="1"/>
      <protection locked="0"/>
    </xf>
    <xf numFmtId="0" fontId="12" fillId="13" borderId="14" xfId="1" applyFont="1" applyFill="1" applyBorder="1" applyAlignment="1" applyProtection="1">
      <alignment horizontal="left" vertical="center" wrapText="1"/>
      <protection locked="0"/>
    </xf>
    <xf numFmtId="0" fontId="12" fillId="13" borderId="18" xfId="1" applyFont="1" applyFill="1" applyBorder="1" applyAlignment="1" applyProtection="1">
      <alignment horizontal="left" vertical="center" wrapText="1"/>
      <protection locked="0"/>
    </xf>
    <xf numFmtId="0" fontId="12" fillId="13" borderId="11" xfId="1" applyFont="1" applyFill="1" applyBorder="1" applyAlignment="1" applyProtection="1">
      <alignment horizontal="left" vertical="center" wrapText="1"/>
      <protection locked="0"/>
    </xf>
    <xf numFmtId="0" fontId="11" fillId="6" borderId="25" xfId="0" applyFont="1" applyFill="1" applyBorder="1" applyAlignment="1" applyProtection="1">
      <alignment horizontal="left" vertical="center" wrapText="1"/>
      <protection locked="0"/>
    </xf>
    <xf numFmtId="0" fontId="11" fillId="6" borderId="26" xfId="0" applyFont="1" applyFill="1" applyBorder="1" applyAlignment="1" applyProtection="1">
      <alignment horizontal="left" vertical="center" wrapText="1"/>
      <protection locked="0"/>
    </xf>
    <xf numFmtId="0" fontId="11" fillId="8" borderId="20" xfId="0" applyFont="1" applyFill="1" applyBorder="1" applyAlignment="1" applyProtection="1">
      <alignment horizontal="left" vertical="center" wrapText="1"/>
      <protection locked="0"/>
    </xf>
    <xf numFmtId="0" fontId="11" fillId="8" borderId="14" xfId="0" applyFont="1" applyFill="1" applyBorder="1" applyAlignment="1" applyProtection="1">
      <alignment horizontal="left" vertical="center" wrapText="1"/>
      <protection locked="0"/>
    </xf>
    <xf numFmtId="0" fontId="11" fillId="3" borderId="32" xfId="0" applyFont="1" applyFill="1" applyBorder="1" applyAlignment="1" applyProtection="1">
      <alignment horizontal="left" vertical="center" wrapText="1"/>
      <protection locked="0"/>
    </xf>
    <xf numFmtId="0" fontId="11" fillId="3" borderId="8" xfId="0" applyFont="1" applyFill="1" applyBorder="1" applyAlignment="1" applyProtection="1">
      <alignment horizontal="left" vertical="center" wrapText="1"/>
      <protection locked="0"/>
    </xf>
    <xf numFmtId="0" fontId="11" fillId="6" borderId="10" xfId="0" applyFont="1" applyFill="1" applyBorder="1" applyAlignment="1" applyProtection="1">
      <alignment horizontal="left" vertical="center" wrapText="1"/>
      <protection locked="0"/>
    </xf>
    <xf numFmtId="0" fontId="11" fillId="6" borderId="1" xfId="0" applyFont="1" applyFill="1" applyBorder="1" applyAlignment="1" applyProtection="1">
      <alignment horizontal="left" vertical="center" wrapText="1"/>
      <protection locked="0"/>
    </xf>
    <xf numFmtId="0" fontId="11" fillId="6" borderId="40" xfId="0" applyFont="1" applyFill="1" applyBorder="1" applyAlignment="1" applyProtection="1">
      <alignment horizontal="left" vertical="center" wrapText="1"/>
      <protection locked="0"/>
    </xf>
    <xf numFmtId="0" fontId="11" fillId="6" borderId="24" xfId="0" applyFont="1" applyFill="1" applyBorder="1" applyAlignment="1" applyProtection="1">
      <alignment horizontal="left" vertical="center" wrapText="1"/>
      <protection locked="0"/>
    </xf>
    <xf numFmtId="0" fontId="11" fillId="13" borderId="31" xfId="0" applyFont="1" applyFill="1" applyBorder="1" applyAlignment="1" applyProtection="1">
      <alignment vertical="center" wrapText="1"/>
      <protection locked="0"/>
    </xf>
    <xf numFmtId="0" fontId="11" fillId="13" borderId="16" xfId="0" applyFont="1" applyFill="1" applyBorder="1" applyAlignment="1" applyProtection="1">
      <alignment vertical="center" wrapText="1"/>
      <protection locked="0"/>
    </xf>
    <xf numFmtId="0" fontId="11" fillId="13" borderId="32" xfId="0" applyFont="1" applyFill="1" applyBorder="1" applyAlignment="1" applyProtection="1">
      <alignment vertical="center" wrapText="1"/>
      <protection locked="0"/>
    </xf>
    <xf numFmtId="0" fontId="11" fillId="13" borderId="8" xfId="0" applyFont="1" applyFill="1" applyBorder="1" applyAlignment="1" applyProtection="1">
      <alignment vertical="center" wrapText="1"/>
      <protection locked="0"/>
    </xf>
    <xf numFmtId="0" fontId="11" fillId="13" borderId="10" xfId="0" applyFont="1" applyFill="1" applyBorder="1" applyAlignment="1" applyProtection="1">
      <alignment horizontal="center" vertical="center" wrapText="1"/>
      <protection locked="0"/>
    </xf>
    <xf numFmtId="0" fontId="11" fillId="13" borderId="1" xfId="0" applyFont="1" applyFill="1" applyBorder="1" applyAlignment="1" applyProtection="1">
      <alignment horizontal="center" vertical="center" wrapText="1"/>
      <protection locked="0"/>
    </xf>
    <xf numFmtId="0" fontId="12" fillId="13" borderId="18" xfId="1" applyFont="1" applyFill="1" applyBorder="1" applyAlignment="1" applyProtection="1">
      <alignment horizontal="center" vertical="center"/>
      <protection locked="0"/>
    </xf>
    <xf numFmtId="0" fontId="12" fillId="13" borderId="11" xfId="1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11" fillId="3" borderId="20" xfId="0" applyFont="1" applyFill="1" applyBorder="1" applyAlignment="1" applyProtection="1">
      <alignment horizontal="left" vertical="center" wrapText="1"/>
      <protection locked="0"/>
    </xf>
    <xf numFmtId="0" fontId="11" fillId="3" borderId="14" xfId="0" applyFont="1" applyFill="1" applyBorder="1" applyAlignment="1" applyProtection="1">
      <alignment horizontal="left" vertical="center" wrapText="1"/>
      <protection locked="0"/>
    </xf>
    <xf numFmtId="0" fontId="11" fillId="13" borderId="28" xfId="0" applyFont="1" applyFill="1" applyBorder="1" applyAlignment="1" applyProtection="1">
      <alignment horizontal="left" vertical="center" wrapText="1"/>
      <protection locked="0"/>
    </xf>
    <xf numFmtId="0" fontId="11" fillId="13" borderId="13" xfId="0" applyFont="1" applyFill="1" applyBorder="1" applyAlignment="1" applyProtection="1">
      <alignment horizontal="left" vertical="center" wrapText="1"/>
      <protection locked="0"/>
    </xf>
    <xf numFmtId="0" fontId="11" fillId="13" borderId="32" xfId="0" applyFont="1" applyFill="1" applyBorder="1" applyAlignment="1" applyProtection="1">
      <alignment horizontal="left" vertical="center" wrapText="1"/>
      <protection locked="0"/>
    </xf>
    <xf numFmtId="0" fontId="11" fillId="13" borderId="8" xfId="0" applyFont="1" applyFill="1" applyBorder="1" applyAlignment="1" applyProtection="1">
      <alignment horizontal="left" vertical="center" wrapText="1"/>
      <protection locked="0"/>
    </xf>
    <xf numFmtId="0" fontId="11" fillId="13" borderId="10" xfId="0" applyFont="1" applyFill="1" applyBorder="1" applyAlignment="1" applyProtection="1">
      <alignment horizontal="left" vertical="center" wrapText="1"/>
      <protection locked="0"/>
    </xf>
    <xf numFmtId="0" fontId="11" fillId="13" borderId="1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12" fillId="9" borderId="28" xfId="1" applyFont="1" applyFill="1" applyBorder="1" applyAlignment="1" applyProtection="1">
      <alignment horizontal="center" vertical="center"/>
      <protection locked="0"/>
    </xf>
    <xf numFmtId="0" fontId="12" fillId="9" borderId="34" xfId="1" applyFont="1" applyFill="1" applyBorder="1" applyAlignment="1" applyProtection="1">
      <alignment horizontal="center" vertical="center"/>
      <protection locked="0"/>
    </xf>
    <xf numFmtId="0" fontId="10" fillId="0" borderId="32" xfId="1" applyFont="1" applyBorder="1" applyAlignment="1" applyProtection="1">
      <alignment horizontal="left" vertical="center"/>
      <protection locked="0"/>
    </xf>
    <xf numFmtId="0" fontId="10" fillId="0" borderId="37" xfId="1" applyFont="1" applyBorder="1" applyAlignment="1" applyProtection="1">
      <alignment horizontal="left" vertical="center"/>
      <protection locked="0"/>
    </xf>
    <xf numFmtId="0" fontId="10" fillId="0" borderId="8" xfId="1" applyFont="1" applyBorder="1" applyAlignment="1" applyProtection="1">
      <alignment horizontal="left" vertical="center"/>
      <protection locked="0"/>
    </xf>
    <xf numFmtId="0" fontId="12" fillId="4" borderId="32" xfId="1" applyFont="1" applyFill="1" applyBorder="1" applyAlignment="1" applyProtection="1">
      <alignment horizontal="left" vertical="center"/>
      <protection locked="0"/>
    </xf>
    <xf numFmtId="0" fontId="12" fillId="4" borderId="37" xfId="1" applyFont="1" applyFill="1" applyBorder="1" applyAlignment="1" applyProtection="1">
      <alignment horizontal="left" vertical="center"/>
      <protection locked="0"/>
    </xf>
    <xf numFmtId="0" fontId="12" fillId="4" borderId="8" xfId="1" applyFont="1" applyFill="1" applyBorder="1" applyAlignment="1" applyProtection="1">
      <alignment horizontal="left" vertical="center"/>
      <protection locked="0"/>
    </xf>
    <xf numFmtId="0" fontId="11" fillId="6" borderId="7" xfId="0" applyFont="1" applyFill="1" applyBorder="1" applyAlignment="1" applyProtection="1">
      <alignment horizontal="left" vertical="center" wrapText="1"/>
      <protection locked="0"/>
    </xf>
    <xf numFmtId="14" fontId="11" fillId="3" borderId="11" xfId="0" applyNumberFormat="1" applyFont="1" applyFill="1" applyBorder="1" applyAlignment="1" applyProtection="1">
      <alignment horizontal="left" vertical="center" wrapText="1"/>
      <protection locked="0"/>
    </xf>
    <xf numFmtId="0" fontId="11" fillId="3" borderId="12" xfId="0" applyFont="1" applyFill="1" applyBorder="1" applyAlignment="1" applyProtection="1">
      <alignment horizontal="left" vertical="center" wrapText="1"/>
      <protection locked="0"/>
    </xf>
    <xf numFmtId="0" fontId="12" fillId="3" borderId="21" xfId="1" applyFont="1" applyFill="1" applyBorder="1" applyAlignment="1" applyProtection="1">
      <alignment horizontal="center" vertical="center"/>
      <protection locked="0"/>
    </xf>
    <xf numFmtId="0" fontId="12" fillId="3" borderId="26" xfId="1" applyFont="1" applyFill="1" applyBorder="1" applyAlignment="1" applyProtection="1">
      <alignment horizontal="center" vertical="center"/>
      <protection locked="0"/>
    </xf>
    <xf numFmtId="0" fontId="12" fillId="3" borderId="38" xfId="1" applyFont="1" applyFill="1" applyBorder="1" applyAlignment="1" applyProtection="1">
      <alignment horizontal="center" vertical="center"/>
      <protection locked="0"/>
    </xf>
    <xf numFmtId="0" fontId="12" fillId="3" borderId="27" xfId="1" applyFont="1" applyFill="1" applyBorder="1" applyAlignment="1" applyProtection="1">
      <alignment horizontal="center" vertical="center"/>
      <protection locked="0"/>
    </xf>
    <xf numFmtId="0" fontId="13" fillId="4" borderId="1" xfId="2" applyFont="1" applyFill="1" applyBorder="1" applyAlignment="1" applyProtection="1">
      <alignment horizontal="center" vertical="center"/>
      <protection locked="0"/>
    </xf>
    <xf numFmtId="0" fontId="11" fillId="13" borderId="23" xfId="0" applyFont="1" applyFill="1" applyBorder="1" applyAlignment="1" applyProtection="1">
      <alignment horizontal="left" vertical="center" wrapText="1"/>
      <protection locked="0"/>
    </xf>
    <xf numFmtId="0" fontId="11" fillId="13" borderId="21" xfId="0" applyFont="1" applyFill="1" applyBorder="1" applyAlignment="1" applyProtection="1">
      <alignment horizontal="left" vertical="center" wrapText="1"/>
      <protection locked="0"/>
    </xf>
    <xf numFmtId="0" fontId="11" fillId="3" borderId="11" xfId="0" applyFont="1" applyFill="1" applyBorder="1" applyAlignment="1" applyProtection="1">
      <alignment horizontal="center" vertical="center" wrapText="1"/>
      <protection locked="0"/>
    </xf>
    <xf numFmtId="0" fontId="11" fillId="3" borderId="19" xfId="0" applyFont="1" applyFill="1" applyBorder="1" applyAlignment="1" applyProtection="1">
      <alignment horizontal="center" vertical="center" wrapText="1"/>
      <protection locked="0"/>
    </xf>
    <xf numFmtId="0" fontId="11" fillId="3" borderId="14" xfId="0" applyFont="1" applyFill="1" applyBorder="1" applyAlignment="1" applyProtection="1">
      <alignment horizontal="center" vertical="center" wrapText="1"/>
      <protection locked="0"/>
    </xf>
    <xf numFmtId="0" fontId="11" fillId="3" borderId="17" xfId="0" applyFont="1" applyFill="1" applyBorder="1" applyAlignment="1" applyProtection="1">
      <alignment horizontal="center" vertical="center" wrapText="1"/>
      <protection locked="0"/>
    </xf>
    <xf numFmtId="0" fontId="12" fillId="4" borderId="31" xfId="1" applyFont="1" applyFill="1" applyBorder="1" applyAlignment="1" applyProtection="1">
      <alignment horizontal="left" vertical="center"/>
      <protection locked="0"/>
    </xf>
    <xf numFmtId="0" fontId="12" fillId="4" borderId="36" xfId="1" applyFont="1" applyFill="1" applyBorder="1" applyAlignment="1" applyProtection="1">
      <alignment horizontal="left" vertical="center"/>
      <protection locked="0"/>
    </xf>
    <xf numFmtId="0" fontId="12" fillId="4" borderId="16" xfId="1" applyFont="1" applyFill="1" applyBorder="1" applyAlignment="1" applyProtection="1">
      <alignment horizontal="left" vertical="center"/>
      <protection locked="0"/>
    </xf>
    <xf numFmtId="0" fontId="12" fillId="3" borderId="1" xfId="1" applyFont="1" applyFill="1" applyBorder="1" applyAlignment="1" applyProtection="1">
      <alignment horizontal="left" vertical="center"/>
      <protection locked="0"/>
    </xf>
    <xf numFmtId="0" fontId="11" fillId="6" borderId="9" xfId="0" applyFont="1" applyFill="1" applyBorder="1" applyAlignment="1" applyProtection="1">
      <alignment horizontal="left" vertical="center" wrapText="1"/>
      <protection locked="0"/>
    </xf>
    <xf numFmtId="0" fontId="11" fillId="8" borderId="17" xfId="0" applyFont="1" applyFill="1" applyBorder="1" applyAlignment="1" applyProtection="1">
      <alignment horizontal="left" vertical="center" wrapText="1"/>
      <protection locked="0"/>
    </xf>
    <xf numFmtId="0" fontId="11" fillId="6" borderId="26" xfId="0" applyFont="1" applyFill="1" applyBorder="1" applyAlignment="1" applyProtection="1">
      <alignment horizontal="center" vertical="center" wrapText="1"/>
      <protection locked="0"/>
    </xf>
    <xf numFmtId="0" fontId="11" fillId="6" borderId="27" xfId="0" applyFont="1" applyFill="1" applyBorder="1" applyAlignment="1" applyProtection="1">
      <alignment horizontal="center" vertical="center" wrapText="1"/>
      <protection locked="0"/>
    </xf>
    <xf numFmtId="0" fontId="11" fillId="6" borderId="14" xfId="0" applyFont="1" applyFill="1" applyBorder="1" applyAlignment="1" applyProtection="1">
      <alignment horizontal="center" vertical="center" wrapText="1"/>
      <protection locked="0"/>
    </xf>
    <xf numFmtId="0" fontId="11" fillId="6" borderId="17" xfId="0" applyFont="1" applyFill="1" applyBorder="1" applyAlignment="1" applyProtection="1">
      <alignment horizontal="center" vertical="center" wrapText="1"/>
      <protection locked="0"/>
    </xf>
    <xf numFmtId="0" fontId="11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16" xfId="0" applyFont="1" applyFill="1" applyBorder="1" applyAlignment="1" applyProtection="1">
      <alignment horizontal="left" vertical="center" wrapText="1"/>
      <protection locked="0"/>
    </xf>
    <xf numFmtId="0" fontId="11" fillId="8" borderId="31" xfId="0" applyFont="1" applyFill="1" applyBorder="1" applyAlignment="1" applyProtection="1">
      <alignment horizontal="left" vertical="center" wrapText="1"/>
      <protection locked="0"/>
    </xf>
    <xf numFmtId="0" fontId="11" fillId="8" borderId="16" xfId="0" applyFont="1" applyFill="1" applyBorder="1" applyAlignment="1" applyProtection="1">
      <alignment horizontal="left" vertical="center" wrapText="1"/>
      <protection locked="0"/>
    </xf>
    <xf numFmtId="0" fontId="11" fillId="8" borderId="28" xfId="0" applyFont="1" applyFill="1" applyBorder="1" applyAlignment="1" applyProtection="1">
      <alignment horizontal="left" vertical="center" wrapText="1"/>
      <protection locked="0"/>
    </xf>
    <xf numFmtId="0" fontId="11" fillId="8" borderId="13" xfId="0" applyFont="1" applyFill="1" applyBorder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11" fillId="5" borderId="1" xfId="2" applyFont="1" applyFill="1" applyBorder="1" applyAlignment="1" applyProtection="1">
      <alignment horizontal="center" vertical="center"/>
      <protection locked="0"/>
    </xf>
    <xf numFmtId="0" fontId="7" fillId="16" borderId="26" xfId="0" applyFont="1" applyFill="1" applyBorder="1" applyAlignment="1" applyProtection="1">
      <alignment horizontal="center" vertical="center" wrapText="1"/>
      <protection locked="0"/>
    </xf>
    <xf numFmtId="0" fontId="7" fillId="16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</cellXfs>
  <cellStyles count="4">
    <cellStyle name="60% - Énfasis4" xfId="2" builtinId="44"/>
    <cellStyle name="Normal" xfId="0" builtinId="0"/>
    <cellStyle name="Normal 68" xfId="1" xr:uid="{00000000-0005-0000-0000-000003000000}"/>
    <cellStyle name="Porcentaje" xfId="3" builtinId="5"/>
  </cellStyles>
  <dxfs count="0"/>
  <tableStyles count="0" defaultTableStyle="TableStyleMedium2" defaultPivotStyle="PivotStyleLight16"/>
  <colors>
    <mruColors>
      <color rgb="FFCC66FF"/>
      <color rgb="FF9AE4B3"/>
      <color rgb="FFFF99FF"/>
      <color rgb="FF99FFCC"/>
      <color rgb="FF00FF00"/>
      <color rgb="FFFFCC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2</xdr:row>
      <xdr:rowOff>321513</xdr:rowOff>
    </xdr:from>
    <xdr:to>
      <xdr:col>3</xdr:col>
      <xdr:colOff>1177921</xdr:colOff>
      <xdr:row>4</xdr:row>
      <xdr:rowOff>283585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0922-5570-4D54-9CDE-420E9C072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972541" y="1464513"/>
          <a:ext cx="2515193" cy="1105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55"/>
  <sheetViews>
    <sheetView topLeftCell="L2" workbookViewId="0">
      <selection activeCell="L21" sqref="L21:L22"/>
    </sheetView>
  </sheetViews>
  <sheetFormatPr baseColWidth="10" defaultColWidth="10.7109375" defaultRowHeight="15"/>
  <cols>
    <col min="1" max="1" width="11" style="3" customWidth="1"/>
    <col min="2" max="2" width="13.7109375" style="3" customWidth="1"/>
    <col min="3" max="3" width="8.28515625" style="3" bestFit="1" customWidth="1"/>
    <col min="4" max="8" width="13.7109375" style="3" customWidth="1"/>
    <col min="9" max="9" width="16.42578125" style="3" bestFit="1" customWidth="1"/>
    <col min="10" max="10" width="25.28515625" style="3" bestFit="1" customWidth="1"/>
    <col min="11" max="11" width="17.7109375" style="3" bestFit="1" customWidth="1"/>
    <col min="12" max="12" width="8.28515625" style="3" bestFit="1" customWidth="1"/>
    <col min="13" max="13" width="10.28515625" style="3" customWidth="1"/>
    <col min="14" max="25" width="10.7109375" style="3"/>
    <col min="26" max="26" width="24.5703125" style="3" customWidth="1"/>
    <col min="27" max="16384" width="10.7109375" style="3"/>
  </cols>
  <sheetData>
    <row r="2" spans="1:27" s="4" customFormat="1" ht="45">
      <c r="A2" s="4" t="s">
        <v>68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21</v>
      </c>
      <c r="I2" s="4" t="s">
        <v>22</v>
      </c>
      <c r="J2" s="4" t="s">
        <v>23</v>
      </c>
      <c r="K2" s="4" t="s">
        <v>48</v>
      </c>
      <c r="L2" s="4" t="s">
        <v>49</v>
      </c>
      <c r="M2" s="4" t="s">
        <v>34</v>
      </c>
      <c r="N2" s="4" t="s">
        <v>59</v>
      </c>
      <c r="O2" s="4" t="s">
        <v>63</v>
      </c>
      <c r="P2" s="4" t="s">
        <v>65</v>
      </c>
      <c r="Q2" s="4" t="s">
        <v>69</v>
      </c>
      <c r="R2" s="4" t="s">
        <v>70</v>
      </c>
      <c r="S2" s="4" t="s">
        <v>84</v>
      </c>
      <c r="T2" s="4" t="s">
        <v>89</v>
      </c>
      <c r="U2" s="4" t="s">
        <v>99</v>
      </c>
      <c r="V2" s="4" t="s">
        <v>93</v>
      </c>
      <c r="W2" s="4" t="s">
        <v>94</v>
      </c>
      <c r="X2" s="4" t="s">
        <v>95</v>
      </c>
      <c r="Y2" s="4" t="s">
        <v>96</v>
      </c>
      <c r="Z2" s="4" t="s">
        <v>116</v>
      </c>
      <c r="AA2" s="4" t="s">
        <v>97</v>
      </c>
    </row>
    <row r="3" spans="1:27">
      <c r="A3" s="3">
        <v>1</v>
      </c>
      <c r="B3" s="3">
        <v>1</v>
      </c>
      <c r="C3" s="3">
        <v>1</v>
      </c>
      <c r="D3" s="3">
        <v>150</v>
      </c>
      <c r="E3" s="3" t="s">
        <v>11</v>
      </c>
      <c r="F3" s="3" t="s">
        <v>16</v>
      </c>
      <c r="G3" s="3" t="s">
        <v>19</v>
      </c>
      <c r="H3" s="3">
        <v>0</v>
      </c>
      <c r="I3" s="3" t="s">
        <v>41</v>
      </c>
      <c r="J3" s="3" t="s">
        <v>43</v>
      </c>
      <c r="K3" s="3" t="s">
        <v>27</v>
      </c>
      <c r="L3" s="3" t="s">
        <v>32</v>
      </c>
      <c r="M3" s="3" t="s">
        <v>36</v>
      </c>
      <c r="N3" s="3">
        <v>2</v>
      </c>
      <c r="O3" s="3">
        <v>0</v>
      </c>
      <c r="P3" s="3" t="s">
        <v>66</v>
      </c>
      <c r="Q3" s="3" t="s">
        <v>73</v>
      </c>
      <c r="R3" s="3" t="s">
        <v>74</v>
      </c>
      <c r="S3" s="3" t="s">
        <v>85</v>
      </c>
      <c r="T3" s="3">
        <v>1</v>
      </c>
      <c r="U3" s="3">
        <v>3.76</v>
      </c>
      <c r="V3" s="3" t="s">
        <v>98</v>
      </c>
      <c r="W3" s="3">
        <v>1</v>
      </c>
      <c r="X3" s="3">
        <v>1</v>
      </c>
      <c r="Y3" s="3">
        <v>1</v>
      </c>
      <c r="Z3" s="3" t="s">
        <v>122</v>
      </c>
      <c r="AA3" s="3">
        <v>0</v>
      </c>
    </row>
    <row r="4" spans="1:27">
      <c r="A4" s="3">
        <v>1.5</v>
      </c>
      <c r="B4" s="3">
        <v>2</v>
      </c>
      <c r="C4" s="3">
        <v>2</v>
      </c>
      <c r="D4" s="3">
        <v>225</v>
      </c>
      <c r="E4" s="3" t="s">
        <v>14</v>
      </c>
      <c r="F4" s="3" t="s">
        <v>17</v>
      </c>
      <c r="G4" s="3" t="s">
        <v>20</v>
      </c>
      <c r="H4" s="3">
        <v>0.5</v>
      </c>
      <c r="I4" s="3" t="s">
        <v>39</v>
      </c>
      <c r="J4" s="3" t="s">
        <v>44</v>
      </c>
      <c r="K4" s="3" t="s">
        <v>78</v>
      </c>
      <c r="L4" s="3" t="s">
        <v>33</v>
      </c>
      <c r="M4" s="3" t="s">
        <v>35</v>
      </c>
      <c r="N4" s="3">
        <v>3</v>
      </c>
      <c r="O4" s="3">
        <v>1</v>
      </c>
      <c r="P4" s="3" t="s">
        <v>64</v>
      </c>
      <c r="Q4" s="3" t="s">
        <v>72</v>
      </c>
      <c r="R4" s="3" t="s">
        <v>75</v>
      </c>
      <c r="S4" s="3" t="s">
        <v>86</v>
      </c>
      <c r="T4" s="9">
        <v>1.6666666666666665</v>
      </c>
      <c r="U4" s="3">
        <v>5.12</v>
      </c>
      <c r="V4" s="3" t="s">
        <v>35</v>
      </c>
      <c r="W4" s="3">
        <v>2</v>
      </c>
      <c r="X4" s="3">
        <v>2</v>
      </c>
      <c r="Y4" s="3">
        <v>2</v>
      </c>
      <c r="Z4" s="3" t="s">
        <v>123</v>
      </c>
      <c r="AA4" s="3">
        <v>0.5</v>
      </c>
    </row>
    <row r="5" spans="1:27">
      <c r="A5" s="3">
        <v>2</v>
      </c>
      <c r="B5" s="3">
        <v>3</v>
      </c>
      <c r="C5" s="3">
        <v>3</v>
      </c>
      <c r="D5" s="3">
        <v>250</v>
      </c>
      <c r="E5" s="3" t="s">
        <v>12</v>
      </c>
      <c r="F5" s="3" t="s">
        <v>18</v>
      </c>
      <c r="H5" s="3">
        <v>1</v>
      </c>
      <c r="I5" s="3" t="s">
        <v>42</v>
      </c>
      <c r="J5" s="3" t="s">
        <v>25</v>
      </c>
      <c r="K5" s="3" t="s">
        <v>28</v>
      </c>
      <c r="L5" s="3" t="s">
        <v>10</v>
      </c>
      <c r="N5" s="3">
        <v>3.5</v>
      </c>
      <c r="O5" s="3">
        <v>2</v>
      </c>
      <c r="P5" s="3" t="s">
        <v>67</v>
      </c>
      <c r="Q5" s="3" t="s">
        <v>77</v>
      </c>
      <c r="R5" s="3" t="s">
        <v>76</v>
      </c>
      <c r="T5" s="3">
        <v>2</v>
      </c>
      <c r="W5" s="3">
        <v>3</v>
      </c>
      <c r="X5" s="3">
        <v>3</v>
      </c>
      <c r="Y5" s="3">
        <v>3</v>
      </c>
      <c r="Z5" s="3" t="s">
        <v>124</v>
      </c>
      <c r="AA5" s="3">
        <v>1</v>
      </c>
    </row>
    <row r="6" spans="1:27">
      <c r="A6" s="3">
        <v>2.5</v>
      </c>
      <c r="B6" s="3">
        <v>4</v>
      </c>
      <c r="C6" s="3">
        <v>4</v>
      </c>
      <c r="D6" s="3" t="s">
        <v>53</v>
      </c>
      <c r="E6" s="3" t="s">
        <v>15</v>
      </c>
      <c r="H6" s="3">
        <v>1.5</v>
      </c>
      <c r="I6" s="3" t="s">
        <v>40</v>
      </c>
      <c r="J6" s="3" t="s">
        <v>39</v>
      </c>
      <c r="K6" s="3" t="s">
        <v>26</v>
      </c>
      <c r="O6" s="3">
        <v>3</v>
      </c>
      <c r="R6" s="3" t="s">
        <v>81</v>
      </c>
      <c r="T6" s="3">
        <v>3</v>
      </c>
      <c r="W6" s="3">
        <v>4</v>
      </c>
      <c r="Y6" s="3">
        <v>4</v>
      </c>
      <c r="Z6" s="3" t="s">
        <v>125</v>
      </c>
      <c r="AA6" s="3">
        <v>1.5</v>
      </c>
    </row>
    <row r="7" spans="1:27">
      <c r="A7" s="3">
        <v>3</v>
      </c>
      <c r="B7" s="3">
        <v>5</v>
      </c>
      <c r="C7" s="3">
        <v>5</v>
      </c>
      <c r="D7" s="3" t="s">
        <v>10</v>
      </c>
      <c r="E7" s="3" t="s">
        <v>61</v>
      </c>
      <c r="H7" s="3">
        <v>2</v>
      </c>
      <c r="I7" s="3" t="s">
        <v>24</v>
      </c>
      <c r="J7" s="3" t="s">
        <v>45</v>
      </c>
      <c r="K7" s="3" t="s">
        <v>29</v>
      </c>
      <c r="O7" s="3">
        <v>4</v>
      </c>
      <c r="T7" s="3">
        <v>4</v>
      </c>
      <c r="W7" s="3">
        <v>5</v>
      </c>
      <c r="Z7" s="3" t="s">
        <v>126</v>
      </c>
      <c r="AA7" s="3">
        <v>2</v>
      </c>
    </row>
    <row r="8" spans="1:27">
      <c r="A8" s="3">
        <v>3.5</v>
      </c>
      <c r="B8" s="3">
        <v>6</v>
      </c>
      <c r="C8" s="3">
        <v>6</v>
      </c>
      <c r="E8" s="3" t="s">
        <v>13</v>
      </c>
      <c r="H8" s="3">
        <v>2.5</v>
      </c>
      <c r="J8" s="3" t="s">
        <v>24</v>
      </c>
      <c r="K8" s="3" t="s">
        <v>79</v>
      </c>
      <c r="O8" s="3">
        <v>5</v>
      </c>
      <c r="W8" s="3">
        <v>6</v>
      </c>
      <c r="AA8" s="3">
        <v>2.5</v>
      </c>
    </row>
    <row r="9" spans="1:27">
      <c r="A9" s="3">
        <v>4</v>
      </c>
      <c r="B9" s="3">
        <v>7</v>
      </c>
      <c r="C9" s="3">
        <v>7</v>
      </c>
      <c r="E9" s="3" t="s">
        <v>37</v>
      </c>
      <c r="H9" s="3">
        <v>3</v>
      </c>
      <c r="K9" s="3" t="s">
        <v>31</v>
      </c>
      <c r="O9" s="3">
        <v>6</v>
      </c>
      <c r="W9" s="3">
        <v>7</v>
      </c>
      <c r="AA9" s="3">
        <v>3</v>
      </c>
    </row>
    <row r="10" spans="1:27">
      <c r="A10" s="3">
        <v>4.5</v>
      </c>
      <c r="B10" s="3">
        <v>8</v>
      </c>
      <c r="C10" s="3">
        <v>8</v>
      </c>
      <c r="E10" s="3" t="s">
        <v>47</v>
      </c>
      <c r="H10" s="3">
        <v>3.5</v>
      </c>
      <c r="K10" s="3" t="s">
        <v>80</v>
      </c>
      <c r="O10" s="3">
        <v>7</v>
      </c>
      <c r="W10" s="3">
        <v>8</v>
      </c>
      <c r="AA10" s="3">
        <v>3.5</v>
      </c>
    </row>
    <row r="11" spans="1:27">
      <c r="A11" s="3">
        <v>5</v>
      </c>
      <c r="B11" s="3">
        <v>9</v>
      </c>
      <c r="C11" s="3">
        <v>9</v>
      </c>
      <c r="E11" s="3" t="s">
        <v>62</v>
      </c>
      <c r="H11" s="3">
        <v>4</v>
      </c>
      <c r="K11" s="3" t="s">
        <v>30</v>
      </c>
      <c r="O11" s="3">
        <v>8</v>
      </c>
      <c r="W11" s="3">
        <v>9</v>
      </c>
      <c r="AA11" s="3">
        <v>4</v>
      </c>
    </row>
    <row r="12" spans="1:27">
      <c r="A12" s="3">
        <v>5.5</v>
      </c>
      <c r="B12" s="3">
        <v>10</v>
      </c>
      <c r="C12" s="3">
        <v>10</v>
      </c>
      <c r="H12" s="3">
        <v>4.5</v>
      </c>
      <c r="O12" s="3">
        <v>9</v>
      </c>
      <c r="W12" s="3">
        <v>10</v>
      </c>
      <c r="AA12" s="3">
        <v>4.5</v>
      </c>
    </row>
    <row r="13" spans="1:27">
      <c r="A13" s="3">
        <v>6</v>
      </c>
      <c r="B13" s="3">
        <v>11</v>
      </c>
      <c r="C13" s="3">
        <v>11</v>
      </c>
      <c r="H13" s="3">
        <v>5</v>
      </c>
      <c r="O13" s="3">
        <v>10</v>
      </c>
      <c r="AA13" s="3">
        <v>5</v>
      </c>
    </row>
    <row r="14" spans="1:27">
      <c r="A14" s="3">
        <v>6.5</v>
      </c>
      <c r="B14" s="3">
        <v>12</v>
      </c>
      <c r="C14" s="3">
        <v>12</v>
      </c>
      <c r="H14" s="3">
        <v>5.5</v>
      </c>
      <c r="O14" s="3">
        <v>11</v>
      </c>
      <c r="AA14" s="3">
        <v>5.5</v>
      </c>
    </row>
    <row r="15" spans="1:27">
      <c r="A15" s="3">
        <v>7</v>
      </c>
      <c r="B15" s="3">
        <v>13</v>
      </c>
      <c r="C15" s="3">
        <v>13</v>
      </c>
      <c r="H15" s="3">
        <v>6</v>
      </c>
      <c r="O15" s="3">
        <v>12</v>
      </c>
      <c r="AA15" s="3">
        <v>6</v>
      </c>
    </row>
    <row r="16" spans="1:27">
      <c r="A16" s="3">
        <v>7.5</v>
      </c>
      <c r="B16" s="3">
        <v>14</v>
      </c>
      <c r="C16" s="3">
        <v>14</v>
      </c>
      <c r="H16" s="3">
        <v>6.5</v>
      </c>
      <c r="O16" s="3">
        <v>13</v>
      </c>
      <c r="AA16" s="3">
        <v>6.5</v>
      </c>
    </row>
    <row r="17" spans="1:27">
      <c r="A17" s="3">
        <v>8</v>
      </c>
      <c r="B17" s="3">
        <v>15</v>
      </c>
      <c r="C17" s="3">
        <v>15</v>
      </c>
      <c r="H17" s="3">
        <v>7</v>
      </c>
      <c r="O17" s="3">
        <v>14</v>
      </c>
      <c r="AA17" s="3">
        <v>7</v>
      </c>
    </row>
    <row r="18" spans="1:27">
      <c r="A18" s="3">
        <v>8.5</v>
      </c>
      <c r="B18" s="3">
        <v>16</v>
      </c>
      <c r="C18" s="3">
        <v>16</v>
      </c>
      <c r="H18" s="3">
        <v>7.5</v>
      </c>
      <c r="O18" s="3">
        <v>15</v>
      </c>
      <c r="AA18" s="3">
        <v>7.5</v>
      </c>
    </row>
    <row r="19" spans="1:27">
      <c r="A19" s="3">
        <v>9</v>
      </c>
      <c r="B19" s="3">
        <v>17</v>
      </c>
      <c r="C19" s="3">
        <v>17</v>
      </c>
      <c r="H19" s="3">
        <v>8</v>
      </c>
      <c r="O19" s="3">
        <v>16</v>
      </c>
      <c r="AA19" s="3">
        <v>8</v>
      </c>
    </row>
    <row r="20" spans="1:27">
      <c r="A20" s="3">
        <v>9.5</v>
      </c>
      <c r="B20" s="3">
        <v>18</v>
      </c>
      <c r="C20" s="3">
        <v>18</v>
      </c>
      <c r="H20" s="3">
        <v>8.5</v>
      </c>
      <c r="O20" s="3">
        <v>17</v>
      </c>
      <c r="AA20" s="3">
        <v>8.5</v>
      </c>
    </row>
    <row r="21" spans="1:27">
      <c r="A21" s="3">
        <v>10</v>
      </c>
      <c r="B21" s="3">
        <v>19</v>
      </c>
      <c r="C21" s="3">
        <v>19</v>
      </c>
      <c r="H21" s="3">
        <v>9</v>
      </c>
      <c r="O21" s="3">
        <v>18</v>
      </c>
      <c r="AA21" s="3">
        <v>9</v>
      </c>
    </row>
    <row r="22" spans="1:27">
      <c r="A22" s="3">
        <v>10.5</v>
      </c>
      <c r="B22" s="3">
        <v>20</v>
      </c>
      <c r="C22" s="3">
        <v>20</v>
      </c>
      <c r="H22" s="3">
        <v>9.5</v>
      </c>
      <c r="O22" s="3">
        <v>19</v>
      </c>
      <c r="AA22" s="3">
        <v>9.5</v>
      </c>
    </row>
    <row r="23" spans="1:27">
      <c r="A23" s="3">
        <v>11</v>
      </c>
      <c r="B23" s="3">
        <v>21</v>
      </c>
      <c r="H23" s="3">
        <v>10</v>
      </c>
      <c r="O23" s="3">
        <v>20</v>
      </c>
      <c r="AA23" s="3">
        <v>10</v>
      </c>
    </row>
    <row r="24" spans="1:27">
      <c r="A24" s="3">
        <v>11.5</v>
      </c>
      <c r="B24" s="3">
        <v>22</v>
      </c>
      <c r="H24" s="3">
        <v>10.5</v>
      </c>
      <c r="O24" s="3">
        <v>21</v>
      </c>
      <c r="AA24" s="3">
        <v>10.5</v>
      </c>
    </row>
    <row r="25" spans="1:27">
      <c r="A25" s="3">
        <v>12</v>
      </c>
      <c r="B25" s="3">
        <v>23</v>
      </c>
      <c r="H25" s="3">
        <v>11</v>
      </c>
      <c r="O25" s="3">
        <v>22</v>
      </c>
      <c r="AA25" s="3">
        <v>11</v>
      </c>
    </row>
    <row r="26" spans="1:27">
      <c r="A26" s="3">
        <v>12.5</v>
      </c>
      <c r="B26" s="3">
        <v>24</v>
      </c>
      <c r="H26" s="3">
        <v>11.5</v>
      </c>
      <c r="O26" s="3">
        <v>23</v>
      </c>
      <c r="AA26" s="3">
        <v>11.5</v>
      </c>
    </row>
    <row r="27" spans="1:27">
      <c r="A27" s="3">
        <v>13</v>
      </c>
      <c r="B27" s="3">
        <v>25</v>
      </c>
      <c r="H27" s="3">
        <v>12</v>
      </c>
      <c r="O27" s="3">
        <v>24</v>
      </c>
      <c r="AA27" s="3">
        <v>12</v>
      </c>
    </row>
    <row r="28" spans="1:27">
      <c r="A28" s="3">
        <v>13.5</v>
      </c>
      <c r="B28" s="3">
        <v>26</v>
      </c>
      <c r="H28" s="3">
        <v>12.5</v>
      </c>
      <c r="O28" s="3">
        <v>25</v>
      </c>
      <c r="AA28" s="3">
        <v>12.5</v>
      </c>
    </row>
    <row r="29" spans="1:27">
      <c r="A29" s="3">
        <v>14</v>
      </c>
      <c r="B29" s="3">
        <v>27</v>
      </c>
      <c r="H29" s="3">
        <v>13</v>
      </c>
      <c r="AA29" s="3">
        <v>13</v>
      </c>
    </row>
    <row r="30" spans="1:27">
      <c r="A30" s="3">
        <v>14.5</v>
      </c>
      <c r="B30" s="3">
        <v>28</v>
      </c>
      <c r="H30" s="3">
        <v>13.5</v>
      </c>
      <c r="AA30" s="3">
        <v>13.5</v>
      </c>
    </row>
    <row r="31" spans="1:27">
      <c r="A31" s="3">
        <v>15</v>
      </c>
      <c r="B31" s="3">
        <v>29</v>
      </c>
      <c r="H31" s="3">
        <v>14</v>
      </c>
      <c r="AA31" s="3">
        <v>14</v>
      </c>
    </row>
    <row r="32" spans="1:27">
      <c r="A32" s="3">
        <v>15.5</v>
      </c>
      <c r="B32" s="3">
        <v>30</v>
      </c>
      <c r="H32" s="3">
        <v>14.5</v>
      </c>
      <c r="AA32" s="3">
        <v>14.5</v>
      </c>
    </row>
    <row r="33" spans="2:27">
      <c r="B33" s="3">
        <v>31</v>
      </c>
      <c r="H33" s="3">
        <v>15</v>
      </c>
      <c r="AA33" s="3">
        <v>15</v>
      </c>
    </row>
    <row r="34" spans="2:27">
      <c r="B34" s="3">
        <v>32</v>
      </c>
      <c r="H34" s="3">
        <v>15.5</v>
      </c>
      <c r="AA34" s="3">
        <v>15.5</v>
      </c>
    </row>
    <row r="35" spans="2:27">
      <c r="B35" s="3">
        <v>33</v>
      </c>
      <c r="H35" s="3">
        <v>16</v>
      </c>
      <c r="AA35" s="3">
        <v>16</v>
      </c>
    </row>
    <row r="36" spans="2:27">
      <c r="B36" s="3">
        <v>34</v>
      </c>
      <c r="H36" s="3">
        <v>16.5</v>
      </c>
      <c r="AA36" s="3">
        <v>16.5</v>
      </c>
    </row>
    <row r="37" spans="2:27">
      <c r="B37" s="3">
        <v>35</v>
      </c>
      <c r="H37" s="3">
        <v>17</v>
      </c>
      <c r="AA37" s="3">
        <v>17</v>
      </c>
    </row>
    <row r="38" spans="2:27">
      <c r="B38" s="3">
        <v>36</v>
      </c>
      <c r="H38" s="3">
        <v>17.5</v>
      </c>
      <c r="AA38" s="3">
        <v>17.5</v>
      </c>
    </row>
    <row r="39" spans="2:27">
      <c r="B39" s="3">
        <v>37</v>
      </c>
      <c r="H39" s="3">
        <v>18</v>
      </c>
      <c r="AA39" s="3">
        <v>18</v>
      </c>
    </row>
    <row r="40" spans="2:27">
      <c r="B40" s="3">
        <v>38</v>
      </c>
      <c r="H40" s="3">
        <v>18.5</v>
      </c>
      <c r="AA40" s="3">
        <v>18.5</v>
      </c>
    </row>
    <row r="41" spans="2:27">
      <c r="B41" s="3">
        <v>39</v>
      </c>
      <c r="H41" s="3">
        <v>19</v>
      </c>
      <c r="AA41" s="3">
        <v>19</v>
      </c>
    </row>
    <row r="42" spans="2:27">
      <c r="B42" s="3">
        <v>40</v>
      </c>
      <c r="H42" s="3">
        <v>19.5</v>
      </c>
      <c r="AA42" s="3">
        <v>19.5</v>
      </c>
    </row>
    <row r="43" spans="2:27">
      <c r="B43" s="3">
        <v>41</v>
      </c>
      <c r="H43" s="3">
        <v>20</v>
      </c>
      <c r="AA43" s="3">
        <v>20</v>
      </c>
    </row>
    <row r="44" spans="2:27">
      <c r="B44" s="3">
        <v>42</v>
      </c>
      <c r="AA44" s="3">
        <v>20.5</v>
      </c>
    </row>
    <row r="45" spans="2:27">
      <c r="AA45" s="3">
        <v>21</v>
      </c>
    </row>
    <row r="46" spans="2:27">
      <c r="AA46" s="3">
        <v>21.5</v>
      </c>
    </row>
    <row r="47" spans="2:27">
      <c r="AA47" s="3">
        <v>22</v>
      </c>
    </row>
    <row r="48" spans="2:27">
      <c r="AA48" s="3">
        <v>22.5</v>
      </c>
    </row>
    <row r="49" spans="27:27">
      <c r="AA49" s="3">
        <v>23</v>
      </c>
    </row>
    <row r="50" spans="27:27">
      <c r="AA50" s="3">
        <v>23.5</v>
      </c>
    </row>
    <row r="51" spans="27:27">
      <c r="AA51" s="3">
        <v>24</v>
      </c>
    </row>
    <row r="52" spans="27:27">
      <c r="AA52" s="3">
        <v>24.5</v>
      </c>
    </row>
    <row r="53" spans="27:27">
      <c r="AA53" s="3">
        <v>25</v>
      </c>
    </row>
    <row r="54" spans="27:27">
      <c r="AA54" s="3">
        <v>25.5</v>
      </c>
    </row>
    <row r="55" spans="27:27" ht="24.75" customHeight="1">
      <c r="AA55" s="3">
        <v>26</v>
      </c>
    </row>
  </sheetData>
  <sortState xmlns:xlrd2="http://schemas.microsoft.com/office/spreadsheetml/2017/richdata2" ref="J20:J25">
    <sortCondition ref="J20:J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2:AE144"/>
  <sheetViews>
    <sheetView showGridLines="0" tabSelected="1" zoomScale="55" zoomScaleNormal="55" zoomScaleSheetLayoutView="85" workbookViewId="0">
      <selection activeCell="AD11" sqref="AD11"/>
    </sheetView>
  </sheetViews>
  <sheetFormatPr baseColWidth="10" defaultColWidth="11.42578125" defaultRowHeight="45" customHeight="1"/>
  <cols>
    <col min="1" max="1" width="5.5703125" style="1" customWidth="1"/>
    <col min="2" max="2" width="16" style="1" customWidth="1"/>
    <col min="3" max="3" width="12.85546875" style="1" bestFit="1" customWidth="1"/>
    <col min="4" max="4" width="20.7109375" style="1" customWidth="1"/>
    <col min="5" max="5" width="12.85546875" style="1" customWidth="1"/>
    <col min="6" max="6" width="24" style="1" bestFit="1" customWidth="1"/>
    <col min="7" max="7" width="20.7109375" style="1" customWidth="1"/>
    <col min="8" max="8" width="20.85546875" style="1" customWidth="1"/>
    <col min="9" max="9" width="20.42578125" style="1" bestFit="1" customWidth="1"/>
    <col min="10" max="10" width="20.28515625" style="1" customWidth="1"/>
    <col min="11" max="11" width="22.7109375" style="1" customWidth="1"/>
    <col min="12" max="12" width="19.5703125" style="1" customWidth="1"/>
    <col min="13" max="13" width="22.7109375" style="1" customWidth="1"/>
    <col min="14" max="18" width="21.7109375" style="1" customWidth="1"/>
    <col min="19" max="20" width="24.28515625" style="1" customWidth="1"/>
    <col min="21" max="24" width="23" style="1" customWidth="1"/>
    <col min="25" max="25" width="14.7109375" style="1" customWidth="1"/>
    <col min="26" max="26" width="12.7109375" style="1" customWidth="1"/>
    <col min="27" max="27" width="14.7109375" style="1" customWidth="1"/>
    <col min="28" max="29" width="15.85546875" style="1" customWidth="1"/>
    <col min="30" max="30" width="19.42578125" style="1" customWidth="1"/>
    <col min="31" max="38" width="12.7109375" style="1" customWidth="1"/>
    <col min="39" max="16384" width="11.42578125" style="1"/>
  </cols>
  <sheetData>
    <row r="2" spans="1:31" ht="45" customHeight="1" thickBot="1">
      <c r="F2" s="20"/>
      <c r="G2" s="20"/>
      <c r="H2" s="20"/>
      <c r="I2" s="20"/>
      <c r="J2" s="20"/>
      <c r="K2" s="20"/>
      <c r="L2" s="20"/>
      <c r="M2" s="20"/>
      <c r="N2" s="20"/>
      <c r="O2" s="103"/>
      <c r="P2" s="103"/>
    </row>
    <row r="3" spans="1:31" ht="45" customHeight="1">
      <c r="B3" s="118"/>
      <c r="C3" s="119"/>
      <c r="D3" s="119"/>
      <c r="E3" s="120"/>
      <c r="F3" s="104" t="s">
        <v>101</v>
      </c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6"/>
    </row>
    <row r="4" spans="1:31" ht="45" customHeight="1">
      <c r="B4" s="121"/>
      <c r="C4" s="122"/>
      <c r="D4" s="122"/>
      <c r="E4" s="123"/>
      <c r="F4" s="107" t="s">
        <v>0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9"/>
    </row>
    <row r="5" spans="1:31" ht="45" customHeight="1" thickBot="1">
      <c r="B5" s="121"/>
      <c r="C5" s="122"/>
      <c r="D5" s="122"/>
      <c r="E5" s="123"/>
      <c r="F5" s="107" t="s">
        <v>1</v>
      </c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31" ht="45" customHeight="1">
      <c r="B6" s="60" t="s">
        <v>38</v>
      </c>
      <c r="C6" s="61"/>
      <c r="D6" s="133"/>
      <c r="E6" s="134"/>
      <c r="F6" s="60" t="s">
        <v>54</v>
      </c>
      <c r="G6" s="61"/>
      <c r="H6" s="21"/>
      <c r="I6" s="112" t="s">
        <v>106</v>
      </c>
      <c r="J6" s="113"/>
      <c r="K6" s="48"/>
      <c r="L6" s="10" t="s">
        <v>87</v>
      </c>
      <c r="M6" s="68"/>
      <c r="N6" s="69"/>
      <c r="O6" s="124" t="s">
        <v>121</v>
      </c>
      <c r="P6" s="125"/>
      <c r="Q6" s="125"/>
      <c r="R6" s="125"/>
      <c r="S6" s="125"/>
      <c r="T6" s="125"/>
      <c r="U6" s="125"/>
      <c r="V6" s="125"/>
      <c r="W6" s="125"/>
      <c r="X6" s="125"/>
      <c r="Y6" s="22" t="s">
        <v>82</v>
      </c>
    </row>
    <row r="7" spans="1:31" ht="45" customHeight="1" thickBot="1">
      <c r="B7" s="91" t="s">
        <v>71</v>
      </c>
      <c r="C7" s="92"/>
      <c r="D7" s="92"/>
      <c r="E7" s="132"/>
      <c r="F7" s="110" t="s">
        <v>55</v>
      </c>
      <c r="G7" s="111"/>
      <c r="H7" s="23"/>
      <c r="I7" s="114" t="s">
        <v>107</v>
      </c>
      <c r="J7" s="115"/>
      <c r="K7" s="31"/>
      <c r="L7" s="76" t="s">
        <v>88</v>
      </c>
      <c r="M7" s="135"/>
      <c r="N7" s="137"/>
      <c r="O7" s="126"/>
      <c r="P7" s="127"/>
      <c r="Q7" s="127"/>
      <c r="R7" s="127"/>
      <c r="S7" s="127"/>
      <c r="T7" s="127"/>
      <c r="U7" s="127"/>
      <c r="V7" s="127"/>
      <c r="W7" s="127"/>
      <c r="X7" s="128"/>
      <c r="Y7" s="6" t="str">
        <f>CONCATENATE(MID(O7,1,1),":",MID(O7,3,2),":",MID(O7,6,2))</f>
        <v>::</v>
      </c>
    </row>
    <row r="8" spans="1:31" ht="45" customHeight="1">
      <c r="B8" s="91" t="s">
        <v>46</v>
      </c>
      <c r="C8" s="92"/>
      <c r="D8" s="92"/>
      <c r="E8" s="132"/>
      <c r="F8" s="64" t="s">
        <v>56</v>
      </c>
      <c r="G8" s="65"/>
      <c r="H8" s="24"/>
      <c r="I8" s="116" t="s">
        <v>108</v>
      </c>
      <c r="J8" s="117"/>
      <c r="K8" s="49"/>
      <c r="L8" s="76"/>
      <c r="M8" s="136"/>
      <c r="N8" s="138"/>
      <c r="O8" s="129"/>
      <c r="P8" s="130"/>
      <c r="Q8" s="130"/>
      <c r="R8" s="130"/>
      <c r="S8" s="130"/>
      <c r="T8" s="130"/>
      <c r="U8" s="130"/>
      <c r="V8" s="130"/>
      <c r="W8" s="130"/>
      <c r="X8" s="131"/>
      <c r="Y8" s="6" t="str">
        <f>CONCATENATE(MID(X8,1,1),":",MID(X8,3,2),":",MID(X8,6,2))</f>
        <v>::</v>
      </c>
    </row>
    <row r="9" spans="1:31" ht="45" customHeight="1" thickBot="1">
      <c r="B9" s="91" t="s">
        <v>69</v>
      </c>
      <c r="C9" s="92"/>
      <c r="D9" s="92"/>
      <c r="E9" s="150"/>
      <c r="F9" s="89" t="s">
        <v>102</v>
      </c>
      <c r="G9" s="90"/>
      <c r="H9" s="25"/>
      <c r="I9" s="140" t="s">
        <v>110</v>
      </c>
      <c r="J9" s="141"/>
      <c r="K9" s="50"/>
      <c r="L9" s="15" t="s">
        <v>89</v>
      </c>
      <c r="M9" s="66"/>
      <c r="N9" s="67"/>
      <c r="O9" s="129"/>
      <c r="P9" s="130"/>
      <c r="Q9" s="130"/>
      <c r="R9" s="130"/>
      <c r="S9" s="130"/>
      <c r="T9" s="130"/>
      <c r="U9" s="130"/>
      <c r="V9" s="130"/>
      <c r="W9" s="130"/>
      <c r="X9" s="131"/>
      <c r="Y9" s="6" t="str">
        <f>CONCATENATE(MID(X9,1,1),":",MID(X9,3,2),":",MID(X9,6,2))</f>
        <v>::</v>
      </c>
    </row>
    <row r="10" spans="1:31" ht="45" customHeight="1" thickBot="1">
      <c r="B10" s="91" t="s">
        <v>70</v>
      </c>
      <c r="C10" s="92"/>
      <c r="D10" s="92"/>
      <c r="E10" s="150"/>
      <c r="F10" s="89" t="s">
        <v>103</v>
      </c>
      <c r="G10" s="90"/>
      <c r="H10" s="25"/>
      <c r="I10" s="79" t="s">
        <v>109</v>
      </c>
      <c r="J10" s="80"/>
      <c r="K10" s="51"/>
      <c r="L10" s="70" t="s">
        <v>90</v>
      </c>
      <c r="M10" s="71"/>
      <c r="N10" s="12"/>
      <c r="O10" s="129"/>
      <c r="P10" s="130"/>
      <c r="Q10" s="130"/>
      <c r="R10" s="130"/>
      <c r="S10" s="130"/>
      <c r="T10" s="130"/>
      <c r="U10" s="130"/>
      <c r="V10" s="130"/>
      <c r="W10" s="130"/>
      <c r="X10" s="131"/>
      <c r="Y10" s="6" t="str">
        <f>CONCATENATE(MID(X10,1,1),":",MID(X10,3,2),":",MID(X10,6,2))</f>
        <v>::</v>
      </c>
    </row>
    <row r="11" spans="1:31" ht="45" customHeight="1" thickBot="1">
      <c r="B11" s="87" t="s">
        <v>100</v>
      </c>
      <c r="C11" s="88"/>
      <c r="D11" s="88"/>
      <c r="E11" s="151"/>
      <c r="F11" s="156" t="s">
        <v>57</v>
      </c>
      <c r="G11" s="157"/>
      <c r="H11" s="26"/>
      <c r="I11" s="83" t="s">
        <v>111</v>
      </c>
      <c r="J11" s="84"/>
      <c r="K11" s="52"/>
      <c r="L11" s="76" t="s">
        <v>91</v>
      </c>
      <c r="M11" s="149"/>
      <c r="N11" s="11"/>
      <c r="O11" s="129"/>
      <c r="P11" s="130"/>
      <c r="Q11" s="130"/>
      <c r="R11" s="130"/>
      <c r="S11" s="130"/>
      <c r="T11" s="130"/>
      <c r="U11" s="130"/>
      <c r="V11" s="130"/>
      <c r="W11" s="130"/>
      <c r="X11" s="131"/>
      <c r="Y11" s="6" t="str">
        <f>CONCATENATE(MID(X11,1,1),":",MID(X11,3,2),":",MID(X11,6,2))</f>
        <v>::</v>
      </c>
    </row>
    <row r="12" spans="1:31" ht="45" customHeight="1" thickBot="1">
      <c r="B12" s="85" t="s">
        <v>50</v>
      </c>
      <c r="C12" s="86"/>
      <c r="D12" s="152"/>
      <c r="E12" s="153"/>
      <c r="F12" s="160" t="s">
        <v>58</v>
      </c>
      <c r="G12" s="161"/>
      <c r="H12" s="27"/>
      <c r="I12" s="81"/>
      <c r="J12" s="82"/>
      <c r="K12" s="19"/>
      <c r="L12" s="72" t="s">
        <v>92</v>
      </c>
      <c r="M12" s="73"/>
      <c r="N12" s="13"/>
      <c r="O12" s="129"/>
      <c r="P12" s="130"/>
      <c r="Q12" s="130"/>
      <c r="R12" s="130"/>
      <c r="S12" s="130"/>
      <c r="T12" s="130"/>
      <c r="U12" s="130"/>
      <c r="V12" s="130"/>
      <c r="W12" s="130"/>
      <c r="X12" s="131"/>
      <c r="Y12" s="6" t="str">
        <f>CONCATENATE(MID(X12,1,1),":",MID(X12,3,2),":",MID(X12,6,2))</f>
        <v>::</v>
      </c>
    </row>
    <row r="13" spans="1:31" ht="45" customHeight="1" thickBot="1">
      <c r="B13" s="62" t="s">
        <v>51</v>
      </c>
      <c r="C13" s="63"/>
      <c r="D13" s="154"/>
      <c r="E13" s="155"/>
      <c r="F13" s="158" t="s">
        <v>105</v>
      </c>
      <c r="G13" s="159"/>
      <c r="H13" s="28"/>
      <c r="I13" s="77"/>
      <c r="J13" s="78"/>
      <c r="K13" s="29"/>
      <c r="L13" s="101"/>
      <c r="M13" s="102"/>
      <c r="N13" s="16"/>
      <c r="O13" s="129"/>
      <c r="P13" s="130"/>
      <c r="Q13" s="130"/>
      <c r="R13" s="130"/>
      <c r="S13" s="130"/>
      <c r="T13" s="130"/>
      <c r="U13" s="130"/>
      <c r="V13" s="130"/>
      <c r="W13" s="130"/>
      <c r="X13" s="131"/>
      <c r="Y13" s="6" t="str">
        <f>CONCATENATE(MID(X13,1,1),":",MID(X13,3,2),":",MID(X13,6,2))</f>
        <v>::</v>
      </c>
    </row>
    <row r="14" spans="1:31" ht="45" customHeight="1" thickBot="1">
      <c r="A14" s="1">
        <v>1</v>
      </c>
      <c r="B14" s="60" t="s">
        <v>52</v>
      </c>
      <c r="C14" s="61"/>
      <c r="D14" s="142"/>
      <c r="E14" s="143"/>
      <c r="F14" s="93" t="s">
        <v>104</v>
      </c>
      <c r="G14" s="94"/>
      <c r="H14" s="30"/>
      <c r="I14" s="97"/>
      <c r="J14" s="98"/>
      <c r="K14" s="31"/>
      <c r="L14" s="99"/>
      <c r="M14" s="100"/>
      <c r="N14" s="17"/>
      <c r="O14" s="129"/>
      <c r="P14" s="130"/>
      <c r="Q14" s="130"/>
      <c r="R14" s="130"/>
      <c r="S14" s="130"/>
      <c r="T14" s="130"/>
      <c r="U14" s="130"/>
      <c r="V14" s="130"/>
      <c r="W14" s="130"/>
      <c r="X14" s="131"/>
      <c r="Y14" s="6" t="str">
        <f>CONCATENATE(MID(X14,1,1),":",MID(X14,3,2),":",MID(X14,6,2))</f>
        <v>::</v>
      </c>
    </row>
    <row r="15" spans="1:31" ht="39" customHeight="1" thickBot="1">
      <c r="B15" s="110" t="s">
        <v>127</v>
      </c>
      <c r="C15" s="111"/>
      <c r="D15" s="144"/>
      <c r="E15" s="145"/>
      <c r="F15" s="156" t="s">
        <v>129</v>
      </c>
      <c r="G15" s="157"/>
      <c r="H15" s="26"/>
      <c r="I15" s="95"/>
      <c r="J15" s="96"/>
      <c r="K15" s="32"/>
      <c r="L15" s="74"/>
      <c r="M15" s="75"/>
      <c r="N15" s="18"/>
      <c r="O15" s="146"/>
      <c r="P15" s="147"/>
      <c r="Q15" s="147"/>
      <c r="R15" s="147"/>
      <c r="S15" s="147"/>
      <c r="T15" s="147"/>
      <c r="U15" s="147"/>
      <c r="V15" s="147"/>
      <c r="W15" s="147"/>
      <c r="X15" s="148"/>
      <c r="Y15" s="7" t="str">
        <f>CONCATENATE(MID(X15,1,1),":",MID(X15,3,2),":",MID(X15,6,2))</f>
        <v>::</v>
      </c>
      <c r="Z15" s="57"/>
    </row>
    <row r="16" spans="1:31" ht="67.5" customHeight="1">
      <c r="B16" s="33" t="s">
        <v>2</v>
      </c>
      <c r="C16" s="34" t="s">
        <v>3</v>
      </c>
      <c r="D16" s="35" t="s">
        <v>112</v>
      </c>
      <c r="E16" s="35" t="s">
        <v>113</v>
      </c>
      <c r="F16" s="35" t="s">
        <v>114</v>
      </c>
      <c r="G16" s="35" t="s">
        <v>115</v>
      </c>
      <c r="H16" s="36" t="s">
        <v>116</v>
      </c>
      <c r="I16" s="36" t="s">
        <v>117</v>
      </c>
      <c r="J16" s="37" t="s">
        <v>7</v>
      </c>
      <c r="K16" s="37" t="s">
        <v>8</v>
      </c>
      <c r="L16" s="37" t="s">
        <v>60</v>
      </c>
      <c r="M16" s="56" t="s">
        <v>136</v>
      </c>
      <c r="N16" s="56" t="s">
        <v>137</v>
      </c>
      <c r="O16" s="38" t="s">
        <v>128</v>
      </c>
      <c r="P16" s="54" t="s">
        <v>130</v>
      </c>
      <c r="Q16" s="54" t="s">
        <v>131</v>
      </c>
      <c r="R16" s="54" t="s">
        <v>132</v>
      </c>
      <c r="S16" s="54" t="s">
        <v>133</v>
      </c>
      <c r="T16" s="54" t="s">
        <v>134</v>
      </c>
      <c r="U16" s="47" t="s">
        <v>110</v>
      </c>
      <c r="V16" s="47" t="s">
        <v>108</v>
      </c>
      <c r="W16" s="47" t="s">
        <v>138</v>
      </c>
      <c r="X16" s="47" t="s">
        <v>106</v>
      </c>
      <c r="Y16" s="166" t="s">
        <v>118</v>
      </c>
      <c r="Z16" s="166"/>
      <c r="AA16" s="167"/>
      <c r="AB16" s="167"/>
      <c r="AC16" s="55" t="s">
        <v>119</v>
      </c>
      <c r="AD16" s="55" t="s">
        <v>120</v>
      </c>
      <c r="AE16" s="55" t="s">
        <v>135</v>
      </c>
    </row>
    <row r="17" spans="1:31" ht="45" customHeight="1">
      <c r="A17" s="1">
        <v>1</v>
      </c>
      <c r="B17" s="39"/>
      <c r="C17" s="40"/>
      <c r="D17" s="41"/>
      <c r="E17" s="41"/>
      <c r="F17" s="41"/>
      <c r="G17" s="46">
        <f>+IF(F17&gt;E17,(F17-E17)/(D17-E17),0)</f>
        <v>0</v>
      </c>
      <c r="H17" s="14"/>
      <c r="I17" s="14"/>
      <c r="J17" s="5"/>
      <c r="K17" s="5"/>
      <c r="L17" s="5"/>
      <c r="M17" s="5"/>
      <c r="N17" s="5"/>
      <c r="O17" s="5"/>
      <c r="P17" s="5"/>
      <c r="Q17" s="5"/>
      <c r="R17" s="5"/>
      <c r="S17" s="59"/>
      <c r="T17" s="59"/>
      <c r="U17" s="5"/>
      <c r="V17" s="5"/>
      <c r="W17" s="14"/>
      <c r="X17" s="14"/>
      <c r="Y17" s="168"/>
      <c r="Z17" s="168"/>
      <c r="AA17" s="168"/>
      <c r="AB17" s="168"/>
      <c r="AC17" s="58"/>
      <c r="AD17" s="58"/>
      <c r="AE17" s="53">
        <f>+AD17-AC17</f>
        <v>0</v>
      </c>
    </row>
    <row r="18" spans="1:31" ht="45" customHeight="1">
      <c r="A18" s="1">
        <v>2</v>
      </c>
      <c r="B18" s="39"/>
      <c r="C18" s="40"/>
      <c r="D18" s="41"/>
      <c r="E18" s="41"/>
      <c r="F18" s="41"/>
      <c r="G18" s="46">
        <f>+IF(F18&gt;E18,(F18-E18)/(D18-E18),0)</f>
        <v>0</v>
      </c>
      <c r="H18" s="14"/>
      <c r="I18" s="1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4"/>
      <c r="X18" s="14"/>
      <c r="Y18" s="168"/>
      <c r="Z18" s="168"/>
      <c r="AA18" s="168"/>
      <c r="AB18" s="168"/>
      <c r="AC18" s="58"/>
      <c r="AD18" s="58"/>
      <c r="AE18" s="53">
        <f>+AD18-AC18</f>
        <v>0</v>
      </c>
    </row>
    <row r="19" spans="1:31" ht="45" customHeight="1">
      <c r="A19" s="1">
        <v>3</v>
      </c>
      <c r="B19" s="39"/>
      <c r="C19" s="40"/>
      <c r="D19" s="41"/>
      <c r="E19" s="41"/>
      <c r="F19" s="41"/>
      <c r="G19" s="46">
        <f>+IF(F19&gt;E19,(F19-E19)/(D19-E19),0)</f>
        <v>0</v>
      </c>
      <c r="H19" s="14"/>
      <c r="I19" s="1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4"/>
      <c r="X19" s="14"/>
      <c r="Y19" s="162"/>
      <c r="Z19" s="163"/>
      <c r="AA19" s="163"/>
      <c r="AB19" s="164"/>
      <c r="AC19" s="58"/>
      <c r="AD19" s="58"/>
      <c r="AE19" s="53">
        <f>+AD19-AC19</f>
        <v>0</v>
      </c>
    </row>
    <row r="20" spans="1:31" ht="45" customHeight="1">
      <c r="A20" s="1">
        <v>4</v>
      </c>
      <c r="B20" s="39"/>
      <c r="C20" s="40"/>
      <c r="D20" s="41"/>
      <c r="E20" s="41"/>
      <c r="F20" s="41"/>
      <c r="G20" s="46">
        <f>+IF(F20&gt;E20,(F20-E20)/(D20-E20),0)</f>
        <v>0</v>
      </c>
      <c r="H20" s="14"/>
      <c r="I20" s="1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14"/>
      <c r="X20" s="14"/>
      <c r="Y20" s="162"/>
      <c r="Z20" s="163"/>
      <c r="AA20" s="163"/>
      <c r="AB20" s="164"/>
      <c r="AC20" s="5"/>
      <c r="AD20" s="5"/>
      <c r="AE20" s="53">
        <f>+AD20-AC20</f>
        <v>0</v>
      </c>
    </row>
    <row r="21" spans="1:31" ht="45" customHeight="1">
      <c r="A21" s="1">
        <v>5</v>
      </c>
      <c r="B21" s="39"/>
      <c r="C21" s="40"/>
      <c r="D21" s="41"/>
      <c r="E21" s="41"/>
      <c r="F21" s="41"/>
      <c r="G21" s="46">
        <f>+IF(F21&gt;E21,(F21-E21)/(D21-E21),0)</f>
        <v>0</v>
      </c>
      <c r="H21" s="14"/>
      <c r="I21" s="1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14"/>
      <c r="X21" s="14"/>
      <c r="Y21" s="162"/>
      <c r="Z21" s="163"/>
      <c r="AA21" s="163"/>
      <c r="AB21" s="164"/>
      <c r="AC21" s="5"/>
      <c r="AD21" s="5"/>
      <c r="AE21" s="53">
        <f>+AD21-AC21</f>
        <v>0</v>
      </c>
    </row>
    <row r="22" spans="1:31" ht="45" customHeight="1">
      <c r="A22" s="1">
        <v>6</v>
      </c>
      <c r="B22" s="39"/>
      <c r="C22" s="40"/>
      <c r="D22" s="41"/>
      <c r="E22" s="41"/>
      <c r="F22" s="41"/>
      <c r="G22" s="46">
        <f>+IF(F22&gt;E22,(F22-E22)/(D22-E22),0)</f>
        <v>0</v>
      </c>
      <c r="H22" s="14"/>
      <c r="I22" s="1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14"/>
      <c r="X22" s="14"/>
      <c r="Y22" s="162"/>
      <c r="Z22" s="163"/>
      <c r="AA22" s="163"/>
      <c r="AB22" s="164"/>
      <c r="AC22" s="5"/>
      <c r="AD22" s="5"/>
      <c r="AE22" s="53">
        <f>+AD22-AC22</f>
        <v>0</v>
      </c>
    </row>
    <row r="23" spans="1:31" ht="45" customHeight="1">
      <c r="A23" s="1">
        <v>7</v>
      </c>
      <c r="B23" s="39"/>
      <c r="C23" s="40"/>
      <c r="D23" s="41"/>
      <c r="E23" s="41"/>
      <c r="F23" s="41"/>
      <c r="G23" s="46">
        <f>+IF(F23&gt;E23,(F23-E23)/(D23-E23),0)</f>
        <v>0</v>
      </c>
      <c r="H23" s="14"/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14"/>
      <c r="X23" s="14"/>
      <c r="Y23" s="162"/>
      <c r="Z23" s="163"/>
      <c r="AA23" s="163"/>
      <c r="AB23" s="164"/>
      <c r="AC23" s="5"/>
      <c r="AD23" s="5"/>
      <c r="AE23" s="53">
        <f>+AD23-AC23</f>
        <v>0</v>
      </c>
    </row>
    <row r="24" spans="1:31" ht="45" customHeight="1">
      <c r="A24" s="1">
        <v>8</v>
      </c>
      <c r="B24" s="39"/>
      <c r="C24" s="40"/>
      <c r="D24" s="41"/>
      <c r="E24" s="41"/>
      <c r="F24" s="41"/>
      <c r="G24" s="46">
        <f>+IF(F24&gt;E24,(F24-E24)/(D24-E24),0)</f>
        <v>0</v>
      </c>
      <c r="H24" s="14"/>
      <c r="I24" s="1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14"/>
      <c r="X24" s="14"/>
      <c r="Y24" s="162"/>
      <c r="Z24" s="163"/>
      <c r="AA24" s="163"/>
      <c r="AB24" s="164"/>
      <c r="AC24" s="5"/>
      <c r="AD24" s="5"/>
      <c r="AE24" s="53">
        <f>+AD24-AC24</f>
        <v>0</v>
      </c>
    </row>
    <row r="25" spans="1:31" ht="45" customHeight="1">
      <c r="A25" s="1">
        <v>9</v>
      </c>
      <c r="B25" s="39"/>
      <c r="C25" s="40"/>
      <c r="D25" s="41"/>
      <c r="E25" s="41"/>
      <c r="F25" s="41"/>
      <c r="G25" s="46">
        <f>+IF(F25&gt;E25,(F25-E25)/(D25-E25),0)</f>
        <v>0</v>
      </c>
      <c r="H25" s="14"/>
      <c r="I25" s="1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4"/>
      <c r="X25" s="14"/>
      <c r="Y25" s="162"/>
      <c r="Z25" s="163"/>
      <c r="AA25" s="163"/>
      <c r="AB25" s="164"/>
      <c r="AC25" s="5"/>
      <c r="AD25" s="5"/>
      <c r="AE25" s="53">
        <f>+AD25-AC25</f>
        <v>0</v>
      </c>
    </row>
    <row r="26" spans="1:31" ht="45" customHeight="1">
      <c r="A26" s="1">
        <v>10</v>
      </c>
      <c r="B26" s="39"/>
      <c r="C26" s="40"/>
      <c r="D26" s="41"/>
      <c r="E26" s="41"/>
      <c r="F26" s="41"/>
      <c r="G26" s="46">
        <f>+IF(F26&gt;E26,(F26-E26)/(D26-E26),0)</f>
        <v>0</v>
      </c>
      <c r="H26" s="14"/>
      <c r="I26" s="1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4"/>
      <c r="X26" s="14"/>
      <c r="Y26" s="162"/>
      <c r="Z26" s="163"/>
      <c r="AA26" s="163"/>
      <c r="AB26" s="164"/>
      <c r="AC26" s="5"/>
      <c r="AD26" s="5"/>
      <c r="AE26" s="53">
        <f>+AD26-AC26</f>
        <v>0</v>
      </c>
    </row>
    <row r="27" spans="1:31" ht="45" customHeight="1">
      <c r="A27" s="1">
        <v>11</v>
      </c>
      <c r="B27" s="39"/>
      <c r="C27" s="40"/>
      <c r="D27" s="41"/>
      <c r="E27" s="41"/>
      <c r="F27" s="41"/>
      <c r="G27" s="46">
        <f>+IF(F27&gt;E27,(F27-E27)/(D27-E27),0)</f>
        <v>0</v>
      </c>
      <c r="H27" s="14"/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14"/>
      <c r="X27" s="14"/>
      <c r="Y27" s="162"/>
      <c r="Z27" s="163"/>
      <c r="AA27" s="163"/>
      <c r="AB27" s="164"/>
      <c r="AC27" s="5"/>
      <c r="AD27" s="5"/>
      <c r="AE27" s="53">
        <f>+AD27-AC27</f>
        <v>0</v>
      </c>
    </row>
    <row r="28" spans="1:31" ht="45" customHeight="1">
      <c r="A28" s="1">
        <v>12</v>
      </c>
      <c r="B28" s="39"/>
      <c r="C28" s="40"/>
      <c r="D28" s="41"/>
      <c r="E28" s="41"/>
      <c r="F28" s="41"/>
      <c r="G28" s="46">
        <f>+IF(F28&gt;E28,(F28-E28)/(D28-E28),0)</f>
        <v>0</v>
      </c>
      <c r="H28" s="14"/>
      <c r="I28" s="1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14"/>
      <c r="X28" s="14"/>
      <c r="Y28" s="162"/>
      <c r="Z28" s="163"/>
      <c r="AA28" s="163"/>
      <c r="AB28" s="164"/>
      <c r="AC28" s="5"/>
      <c r="AD28" s="5"/>
      <c r="AE28" s="53">
        <f>+AD28-AC28</f>
        <v>0</v>
      </c>
    </row>
    <row r="29" spans="1:31" ht="45" customHeight="1">
      <c r="A29" s="1">
        <v>13</v>
      </c>
      <c r="B29" s="39"/>
      <c r="C29" s="40"/>
      <c r="D29" s="41"/>
      <c r="E29" s="41"/>
      <c r="F29" s="41"/>
      <c r="G29" s="46">
        <f>+IF(F29&gt;E29,(F29-E29)/(D29-E29),0)</f>
        <v>0</v>
      </c>
      <c r="H29" s="14"/>
      <c r="I29" s="1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14"/>
      <c r="X29" s="14"/>
      <c r="Y29" s="162"/>
      <c r="Z29" s="163"/>
      <c r="AA29" s="163"/>
      <c r="AB29" s="164"/>
      <c r="AC29" s="5"/>
      <c r="AD29" s="5"/>
      <c r="AE29" s="53">
        <f>+AD29-AC29</f>
        <v>0</v>
      </c>
    </row>
    <row r="30" spans="1:31" ht="45" customHeight="1">
      <c r="A30" s="1">
        <v>14</v>
      </c>
      <c r="B30" s="39"/>
      <c r="C30" s="40"/>
      <c r="D30" s="41"/>
      <c r="E30" s="41"/>
      <c r="F30" s="41"/>
      <c r="G30" s="46">
        <f>+IF(F30&gt;E30,(F30-E30)/(D30-E30),0)</f>
        <v>0</v>
      </c>
      <c r="H30" s="14"/>
      <c r="I30" s="1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14"/>
      <c r="X30" s="14"/>
      <c r="Y30" s="162"/>
      <c r="Z30" s="163"/>
      <c r="AA30" s="163"/>
      <c r="AB30" s="164"/>
      <c r="AC30" s="5"/>
      <c r="AD30" s="5"/>
      <c r="AE30" s="53">
        <f>+AD30-AC30</f>
        <v>0</v>
      </c>
    </row>
    <row r="31" spans="1:31" ht="45" customHeight="1">
      <c r="A31" s="1">
        <v>15</v>
      </c>
      <c r="B31" s="39"/>
      <c r="C31" s="40"/>
      <c r="D31" s="41"/>
      <c r="E31" s="41"/>
      <c r="F31" s="41"/>
      <c r="G31" s="46">
        <f>+IF(F31&gt;E31,(F31-E31)/(D31-E31),0)</f>
        <v>0</v>
      </c>
      <c r="H31" s="14"/>
      <c r="I31" s="1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14"/>
      <c r="X31" s="14"/>
      <c r="Y31" s="162"/>
      <c r="Z31" s="163"/>
      <c r="AA31" s="163"/>
      <c r="AB31" s="164"/>
      <c r="AC31" s="5"/>
      <c r="AD31" s="5"/>
      <c r="AE31" s="53">
        <f>+AD31-AC31</f>
        <v>0</v>
      </c>
    </row>
    <row r="32" spans="1:31" ht="45" customHeight="1">
      <c r="A32" s="1">
        <v>16</v>
      </c>
      <c r="B32" s="39"/>
      <c r="C32" s="40"/>
      <c r="D32" s="41"/>
      <c r="E32" s="41"/>
      <c r="F32" s="41"/>
      <c r="G32" s="46">
        <f>+IF(F32&gt;E32,(F32-E32)/(D32-E32),0)</f>
        <v>0</v>
      </c>
      <c r="H32" s="14"/>
      <c r="I32" s="1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14"/>
      <c r="X32" s="14"/>
      <c r="Y32" s="162"/>
      <c r="Z32" s="163"/>
      <c r="AA32" s="163"/>
      <c r="AB32" s="164"/>
      <c r="AC32" s="5"/>
      <c r="AD32" s="5"/>
      <c r="AE32" s="53">
        <f>+AD32-AC32</f>
        <v>0</v>
      </c>
    </row>
    <row r="33" spans="1:31" ht="45" customHeight="1">
      <c r="A33" s="1">
        <v>17</v>
      </c>
      <c r="B33" s="39"/>
      <c r="C33" s="40"/>
      <c r="D33" s="41"/>
      <c r="E33" s="41"/>
      <c r="F33" s="41"/>
      <c r="G33" s="46">
        <f>+IF(F33&gt;E33,(F33-E33)/(D33-E33),0)</f>
        <v>0</v>
      </c>
      <c r="H33" s="14"/>
      <c r="I33" s="1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14"/>
      <c r="X33" s="14"/>
      <c r="Y33" s="162"/>
      <c r="Z33" s="163"/>
      <c r="AA33" s="163"/>
      <c r="AB33" s="164"/>
      <c r="AC33" s="5"/>
      <c r="AD33" s="5"/>
      <c r="AE33" s="53">
        <f>+AD33-AC33</f>
        <v>0</v>
      </c>
    </row>
    <row r="34" spans="1:31" ht="45" customHeight="1">
      <c r="A34" s="1">
        <v>18</v>
      </c>
      <c r="B34" s="39"/>
      <c r="C34" s="40"/>
      <c r="D34" s="41"/>
      <c r="E34" s="41"/>
      <c r="F34" s="41"/>
      <c r="G34" s="46">
        <f>+IF(F34&gt;E34,(F34-E34)/(D34-E34),0)</f>
        <v>0</v>
      </c>
      <c r="H34" s="14"/>
      <c r="I34" s="1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14"/>
      <c r="X34" s="14"/>
      <c r="Y34" s="162"/>
      <c r="Z34" s="163"/>
      <c r="AA34" s="163"/>
      <c r="AB34" s="164"/>
      <c r="AC34" s="5"/>
      <c r="AD34" s="5"/>
      <c r="AE34" s="53">
        <f>+AD34-AC34</f>
        <v>0</v>
      </c>
    </row>
    <row r="35" spans="1:31" ht="45" customHeight="1">
      <c r="A35" s="1">
        <v>19</v>
      </c>
      <c r="B35" s="39"/>
      <c r="C35" s="40"/>
      <c r="D35" s="41"/>
      <c r="E35" s="41"/>
      <c r="F35" s="41"/>
      <c r="G35" s="46">
        <f>+IF(F35&gt;E35,(F35-E35)/(D35-E35),0)</f>
        <v>0</v>
      </c>
      <c r="H35" s="14"/>
      <c r="I35" s="1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14"/>
      <c r="X35" s="14"/>
      <c r="Y35" s="162"/>
      <c r="Z35" s="163"/>
      <c r="AA35" s="163"/>
      <c r="AB35" s="164"/>
      <c r="AC35" s="5"/>
      <c r="AD35" s="5"/>
      <c r="AE35" s="53">
        <f>+AD35-AC35</f>
        <v>0</v>
      </c>
    </row>
    <row r="36" spans="1:31" ht="45" customHeight="1">
      <c r="A36" s="1">
        <v>20</v>
      </c>
      <c r="B36" s="39"/>
      <c r="C36" s="40"/>
      <c r="D36" s="41"/>
      <c r="E36" s="41"/>
      <c r="F36" s="41"/>
      <c r="G36" s="46">
        <f>+IF(F36&gt;E36,(F36-E36)/(D36-E36),0)</f>
        <v>0</v>
      </c>
      <c r="H36" s="14"/>
      <c r="I36" s="1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14"/>
      <c r="X36" s="14"/>
      <c r="Y36" s="162"/>
      <c r="Z36" s="163"/>
      <c r="AA36" s="163"/>
      <c r="AB36" s="164"/>
      <c r="AC36" s="5"/>
      <c r="AD36" s="5"/>
      <c r="AE36" s="53">
        <f>+AD36-AC36</f>
        <v>0</v>
      </c>
    </row>
    <row r="37" spans="1:31" ht="45" customHeight="1">
      <c r="A37" s="1">
        <v>21</v>
      </c>
      <c r="B37" s="39"/>
      <c r="C37" s="40"/>
      <c r="D37" s="41"/>
      <c r="E37" s="41"/>
      <c r="F37" s="41"/>
      <c r="G37" s="46">
        <f>+IF(F37&gt;E37,(F37-E37)/(D37-E37),0)</f>
        <v>0</v>
      </c>
      <c r="H37" s="14"/>
      <c r="I37" s="1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4"/>
      <c r="X37" s="14"/>
      <c r="Y37" s="162"/>
      <c r="Z37" s="163"/>
      <c r="AA37" s="163"/>
      <c r="AB37" s="164"/>
      <c r="AC37" s="5"/>
      <c r="AD37" s="5"/>
      <c r="AE37" s="53">
        <f>+AD37-AC37</f>
        <v>0</v>
      </c>
    </row>
    <row r="38" spans="1:31" ht="45" customHeight="1">
      <c r="A38" s="1">
        <v>22</v>
      </c>
      <c r="B38" s="39"/>
      <c r="C38" s="40"/>
      <c r="D38" s="41"/>
      <c r="E38" s="41"/>
      <c r="F38" s="41"/>
      <c r="G38" s="46">
        <f>+IF(F38&gt;E38,(F38-E38)/(D38-E38),0)</f>
        <v>0</v>
      </c>
      <c r="H38" s="14"/>
      <c r="I38" s="1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14"/>
      <c r="X38" s="14"/>
      <c r="Y38" s="162"/>
      <c r="Z38" s="163"/>
      <c r="AA38" s="163"/>
      <c r="AB38" s="164"/>
      <c r="AC38" s="5"/>
      <c r="AD38" s="5"/>
      <c r="AE38" s="53">
        <f>+AD38-AC38</f>
        <v>0</v>
      </c>
    </row>
    <row r="39" spans="1:31" ht="45" customHeight="1">
      <c r="A39" s="1">
        <v>23</v>
      </c>
      <c r="B39" s="39"/>
      <c r="C39" s="40"/>
      <c r="D39" s="41"/>
      <c r="E39" s="41"/>
      <c r="F39" s="41"/>
      <c r="G39" s="46">
        <f>+IF(F39&gt;E39,(F39-E39)/(D39-E39),0)</f>
        <v>0</v>
      </c>
      <c r="H39" s="14"/>
      <c r="I39" s="1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14"/>
      <c r="X39" s="14"/>
      <c r="Y39" s="162"/>
      <c r="Z39" s="163"/>
      <c r="AA39" s="163"/>
      <c r="AB39" s="164"/>
      <c r="AC39" s="5"/>
      <c r="AD39" s="5"/>
      <c r="AE39" s="53">
        <f>+AD39-AC39</f>
        <v>0</v>
      </c>
    </row>
    <row r="40" spans="1:31" ht="45" customHeight="1">
      <c r="A40" s="1">
        <v>24</v>
      </c>
      <c r="B40" s="39"/>
      <c r="C40" s="40"/>
      <c r="D40" s="41"/>
      <c r="E40" s="41"/>
      <c r="F40" s="41"/>
      <c r="G40" s="46">
        <f>+IF(F40&gt;E40,(F40-E40)/(D40-E40),0)</f>
        <v>0</v>
      </c>
      <c r="H40" s="14"/>
      <c r="I40" s="1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14"/>
      <c r="X40" s="14"/>
      <c r="Y40" s="162"/>
      <c r="Z40" s="163"/>
      <c r="AA40" s="163"/>
      <c r="AB40" s="164"/>
      <c r="AC40" s="5"/>
      <c r="AD40" s="5"/>
      <c r="AE40" s="53">
        <f>+AD40-AC40</f>
        <v>0</v>
      </c>
    </row>
    <row r="41" spans="1:31" ht="45" customHeight="1">
      <c r="A41" s="1">
        <v>25</v>
      </c>
      <c r="B41" s="39"/>
      <c r="C41" s="40"/>
      <c r="D41" s="41"/>
      <c r="E41" s="41"/>
      <c r="F41" s="41"/>
      <c r="G41" s="46">
        <f>+IF(F41&gt;E41,(F41-E41)/(D41-E41),0)</f>
        <v>0</v>
      </c>
      <c r="H41" s="14"/>
      <c r="I41" s="1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14"/>
      <c r="X41" s="14"/>
      <c r="Y41" s="162"/>
      <c r="Z41" s="163"/>
      <c r="AA41" s="163"/>
      <c r="AB41" s="164"/>
      <c r="AC41" s="5"/>
      <c r="AD41" s="5"/>
      <c r="AE41" s="53">
        <f>+AD41-AC41</f>
        <v>0</v>
      </c>
    </row>
    <row r="42" spans="1:31" ht="45" customHeight="1">
      <c r="A42" s="1">
        <v>26</v>
      </c>
      <c r="B42" s="39"/>
      <c r="C42" s="40"/>
      <c r="D42" s="41"/>
      <c r="E42" s="41"/>
      <c r="F42" s="41"/>
      <c r="G42" s="46">
        <f>+IF(F42&gt;E42,(F42-E42)/(D42-E42),0)</f>
        <v>0</v>
      </c>
      <c r="H42" s="14"/>
      <c r="I42" s="1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14"/>
      <c r="X42" s="14"/>
      <c r="Y42" s="162"/>
      <c r="Z42" s="163"/>
      <c r="AA42" s="163"/>
      <c r="AB42" s="164"/>
      <c r="AC42" s="5"/>
      <c r="AD42" s="5"/>
      <c r="AE42" s="53">
        <f>+AD42-AC42</f>
        <v>0</v>
      </c>
    </row>
    <row r="43" spans="1:31" ht="45" customHeight="1">
      <c r="A43" s="1">
        <v>27</v>
      </c>
      <c r="B43" s="39"/>
      <c r="C43" s="40"/>
      <c r="D43" s="41"/>
      <c r="E43" s="41"/>
      <c r="F43" s="41"/>
      <c r="G43" s="46">
        <f>+IF(F43&gt;E43,(F43-E43)/(D43-E43),0)</f>
        <v>0</v>
      </c>
      <c r="H43" s="14"/>
      <c r="I43" s="1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14"/>
      <c r="X43" s="14"/>
      <c r="Y43" s="162"/>
      <c r="Z43" s="163"/>
      <c r="AA43" s="163"/>
      <c r="AB43" s="164"/>
      <c r="AC43" s="5"/>
      <c r="AD43" s="5"/>
      <c r="AE43" s="53">
        <f>+AD43-AC43</f>
        <v>0</v>
      </c>
    </row>
    <row r="44" spans="1:31" ht="45" customHeight="1">
      <c r="A44" s="1">
        <v>28</v>
      </c>
      <c r="B44" s="39"/>
      <c r="C44" s="40"/>
      <c r="D44" s="41"/>
      <c r="E44" s="41"/>
      <c r="F44" s="41"/>
      <c r="G44" s="46">
        <f>+IF(F44&gt;E44,(F44-E44)/(D44-E44),0)</f>
        <v>0</v>
      </c>
      <c r="H44" s="14"/>
      <c r="I44" s="1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14"/>
      <c r="X44" s="14"/>
      <c r="Y44" s="162"/>
      <c r="Z44" s="163"/>
      <c r="AA44" s="163"/>
      <c r="AB44" s="164"/>
      <c r="AC44" s="5"/>
      <c r="AD44" s="5"/>
      <c r="AE44" s="53">
        <f>+AD44-AC44</f>
        <v>0</v>
      </c>
    </row>
    <row r="45" spans="1:31" ht="45" customHeight="1">
      <c r="A45" s="1">
        <v>29</v>
      </c>
      <c r="B45" s="39"/>
      <c r="C45" s="40"/>
      <c r="D45" s="41"/>
      <c r="E45" s="41"/>
      <c r="F45" s="41"/>
      <c r="G45" s="46">
        <f>+IF(F45&gt;E45,(F45-E45)/(D45-E45),0)</f>
        <v>0</v>
      </c>
      <c r="H45" s="14"/>
      <c r="I45" s="1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14"/>
      <c r="X45" s="14"/>
      <c r="Y45" s="162"/>
      <c r="Z45" s="163"/>
      <c r="AA45" s="163"/>
      <c r="AB45" s="164"/>
      <c r="AC45" s="5"/>
      <c r="AD45" s="5"/>
      <c r="AE45" s="53">
        <f>+AD45-AC45</f>
        <v>0</v>
      </c>
    </row>
    <row r="46" spans="1:31" ht="45" customHeight="1">
      <c r="A46" s="1">
        <v>30</v>
      </c>
      <c r="B46" s="39"/>
      <c r="C46" s="40"/>
      <c r="D46" s="41"/>
      <c r="E46" s="41"/>
      <c r="F46" s="41"/>
      <c r="G46" s="46">
        <f>+IF(F46&gt;E46,(F46-E46)/(D46-E46),0)</f>
        <v>0</v>
      </c>
      <c r="H46" s="14"/>
      <c r="I46" s="1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14"/>
      <c r="X46" s="14"/>
      <c r="Y46" s="162"/>
      <c r="Z46" s="163"/>
      <c r="AA46" s="163"/>
      <c r="AB46" s="164"/>
      <c r="AC46" s="5"/>
      <c r="AD46" s="5"/>
      <c r="AE46" s="53">
        <f>+AD46-AC46</f>
        <v>0</v>
      </c>
    </row>
    <row r="47" spans="1:31" ht="45" customHeight="1">
      <c r="A47" s="1">
        <v>31</v>
      </c>
      <c r="B47" s="39"/>
      <c r="C47" s="40"/>
      <c r="D47" s="41"/>
      <c r="E47" s="41"/>
      <c r="F47" s="41"/>
      <c r="G47" s="46">
        <f>+IF(F47&gt;E47,(F47-E47)/(D47-E47),0)</f>
        <v>0</v>
      </c>
      <c r="H47" s="14"/>
      <c r="I47" s="1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14"/>
      <c r="X47" s="14"/>
      <c r="Y47" s="162"/>
      <c r="Z47" s="163"/>
      <c r="AA47" s="163"/>
      <c r="AB47" s="164"/>
      <c r="AC47" s="5"/>
      <c r="AD47" s="5"/>
      <c r="AE47" s="53">
        <f>+AD47-AC47</f>
        <v>0</v>
      </c>
    </row>
    <row r="48" spans="1:31" ht="45" customHeight="1">
      <c r="A48" s="1">
        <v>32</v>
      </c>
      <c r="B48" s="39"/>
      <c r="C48" s="40"/>
      <c r="D48" s="41"/>
      <c r="E48" s="41"/>
      <c r="F48" s="41"/>
      <c r="G48" s="46">
        <f>+IF(F48&gt;E48,(F48-E48)/(D48-E48),0)</f>
        <v>0</v>
      </c>
      <c r="H48" s="14"/>
      <c r="I48" s="1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14"/>
      <c r="X48" s="14"/>
      <c r="Y48" s="162"/>
      <c r="Z48" s="163"/>
      <c r="AA48" s="163"/>
      <c r="AB48" s="164"/>
      <c r="AC48" s="5"/>
      <c r="AD48" s="5"/>
      <c r="AE48" s="53">
        <f>+AD48-AC48</f>
        <v>0</v>
      </c>
    </row>
    <row r="49" spans="1:31" ht="45" customHeight="1">
      <c r="A49" s="1">
        <v>33</v>
      </c>
      <c r="B49" s="39"/>
      <c r="C49" s="40"/>
      <c r="D49" s="41"/>
      <c r="E49" s="41"/>
      <c r="F49" s="41"/>
      <c r="G49" s="46">
        <f>+IF(F49&gt;E49,(F49-E49)/(D49-E49),0)</f>
        <v>0</v>
      </c>
      <c r="H49" s="14"/>
      <c r="I49" s="1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14"/>
      <c r="X49" s="14"/>
      <c r="Y49" s="162"/>
      <c r="Z49" s="163"/>
      <c r="AA49" s="163"/>
      <c r="AB49" s="164"/>
      <c r="AC49" s="5"/>
      <c r="AD49" s="5"/>
      <c r="AE49" s="53">
        <f>+AD49-AC49</f>
        <v>0</v>
      </c>
    </row>
    <row r="50" spans="1:31" ht="45" customHeight="1">
      <c r="A50" s="1">
        <v>34</v>
      </c>
      <c r="B50" s="39"/>
      <c r="C50" s="40"/>
      <c r="D50" s="41"/>
      <c r="E50" s="41"/>
      <c r="F50" s="41"/>
      <c r="G50" s="46">
        <f>+IF(F50&gt;E50,(F50-E50)/(D50-E50),0)</f>
        <v>0</v>
      </c>
      <c r="H50" s="14"/>
      <c r="I50" s="1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14"/>
      <c r="X50" s="14"/>
      <c r="Y50" s="162"/>
      <c r="Z50" s="163"/>
      <c r="AA50" s="163"/>
      <c r="AB50" s="164"/>
      <c r="AC50" s="5"/>
      <c r="AD50" s="5"/>
      <c r="AE50" s="53">
        <f>+AD50-AC50</f>
        <v>0</v>
      </c>
    </row>
    <row r="51" spans="1:31" ht="45" customHeight="1">
      <c r="A51" s="1">
        <v>35</v>
      </c>
      <c r="B51" s="39"/>
      <c r="C51" s="40"/>
      <c r="D51" s="41"/>
      <c r="E51" s="41"/>
      <c r="F51" s="41"/>
      <c r="G51" s="46">
        <f>+IF(F51&gt;E51,(F51-E51)/(D51-E51),0)</f>
        <v>0</v>
      </c>
      <c r="H51" s="14"/>
      <c r="I51" s="1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14"/>
      <c r="X51" s="14"/>
      <c r="Y51" s="162"/>
      <c r="Z51" s="163"/>
      <c r="AA51" s="163"/>
      <c r="AB51" s="164"/>
      <c r="AC51" s="5"/>
      <c r="AD51" s="5"/>
      <c r="AE51" s="53">
        <f>+AD51-AC51</f>
        <v>0</v>
      </c>
    </row>
    <row r="52" spans="1:31" ht="45" customHeight="1">
      <c r="A52" s="1">
        <v>36</v>
      </c>
      <c r="B52" s="39"/>
      <c r="C52" s="40"/>
      <c r="D52" s="41"/>
      <c r="E52" s="41"/>
      <c r="F52" s="41"/>
      <c r="G52" s="46">
        <f>+IF(F52&gt;E52,(F52-E52)/(D52-E52),0)</f>
        <v>0</v>
      </c>
      <c r="H52" s="14"/>
      <c r="I52" s="1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14"/>
      <c r="X52" s="14"/>
      <c r="Y52" s="162"/>
      <c r="Z52" s="163"/>
      <c r="AA52" s="163"/>
      <c r="AB52" s="164"/>
      <c r="AC52" s="5"/>
      <c r="AD52" s="5"/>
      <c r="AE52" s="53">
        <f>+AD52-AC52</f>
        <v>0</v>
      </c>
    </row>
    <row r="53" spans="1:31" ht="45" customHeight="1">
      <c r="A53" s="1">
        <v>37</v>
      </c>
      <c r="B53" s="39"/>
      <c r="C53" s="40"/>
      <c r="D53" s="41"/>
      <c r="E53" s="41"/>
      <c r="F53" s="41"/>
      <c r="G53" s="46">
        <f>+IF(F53&gt;E53,(F53-E53)/(D53-E53),0)</f>
        <v>0</v>
      </c>
      <c r="H53" s="14"/>
      <c r="I53" s="1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14"/>
      <c r="X53" s="14"/>
      <c r="Y53" s="162"/>
      <c r="Z53" s="163"/>
      <c r="AA53" s="163"/>
      <c r="AB53" s="164"/>
      <c r="AC53" s="5"/>
      <c r="AD53" s="5"/>
      <c r="AE53" s="53">
        <f>+AD53-AC53</f>
        <v>0</v>
      </c>
    </row>
    <row r="54" spans="1:31" ht="45" customHeight="1">
      <c r="A54" s="1">
        <v>38</v>
      </c>
      <c r="B54" s="39"/>
      <c r="C54" s="40"/>
      <c r="D54" s="41"/>
      <c r="E54" s="41"/>
      <c r="F54" s="41"/>
      <c r="G54" s="46">
        <f>+IF(F54&gt;E54,(F54-E54)/(D54-E54),0)</f>
        <v>0</v>
      </c>
      <c r="H54" s="14"/>
      <c r="I54" s="1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4"/>
      <c r="X54" s="14"/>
      <c r="Y54" s="162"/>
      <c r="Z54" s="163"/>
      <c r="AA54" s="163"/>
      <c r="AB54" s="164"/>
      <c r="AC54" s="5"/>
      <c r="AD54" s="5"/>
      <c r="AE54" s="53">
        <f>+AD54-AC54</f>
        <v>0</v>
      </c>
    </row>
    <row r="55" spans="1:31" ht="45" customHeight="1">
      <c r="A55" s="1">
        <v>39</v>
      </c>
      <c r="B55" s="39"/>
      <c r="C55" s="40"/>
      <c r="D55" s="41"/>
      <c r="E55" s="41"/>
      <c r="F55" s="41"/>
      <c r="G55" s="46">
        <f>+IF(F55&gt;E55,(F55-E55)/(D55-E55),0)</f>
        <v>0</v>
      </c>
      <c r="H55" s="14"/>
      <c r="I55" s="1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14"/>
      <c r="X55" s="14"/>
      <c r="Y55" s="162"/>
      <c r="Z55" s="163"/>
      <c r="AA55" s="163"/>
      <c r="AB55" s="164"/>
      <c r="AC55" s="5"/>
      <c r="AD55" s="5"/>
      <c r="AE55" s="53">
        <f>+AD55-AC55</f>
        <v>0</v>
      </c>
    </row>
    <row r="56" spans="1:31" ht="45" customHeight="1">
      <c r="A56" s="1">
        <v>40</v>
      </c>
      <c r="B56" s="39"/>
      <c r="C56" s="40"/>
      <c r="D56" s="41"/>
      <c r="E56" s="41"/>
      <c r="F56" s="41"/>
      <c r="G56" s="46">
        <f>+IF(F56&gt;E56,(F56-E56)/(D56-E56),0)</f>
        <v>0</v>
      </c>
      <c r="H56" s="14"/>
      <c r="I56" s="1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14"/>
      <c r="X56" s="14"/>
      <c r="Y56" s="162"/>
      <c r="Z56" s="163"/>
      <c r="AA56" s="163"/>
      <c r="AB56" s="164"/>
      <c r="AC56" s="5"/>
      <c r="AD56" s="5"/>
      <c r="AE56" s="53">
        <f>+AD56-AC56</f>
        <v>0</v>
      </c>
    </row>
    <row r="57" spans="1:31" ht="45" customHeight="1">
      <c r="A57" s="1">
        <v>41</v>
      </c>
      <c r="B57" s="39"/>
      <c r="C57" s="40"/>
      <c r="D57" s="41"/>
      <c r="E57" s="41"/>
      <c r="F57" s="41"/>
      <c r="G57" s="46">
        <f>+IF(F57&gt;E57,(F57-E57)/(D57-E57),0)</f>
        <v>0</v>
      </c>
      <c r="H57" s="14"/>
      <c r="I57" s="1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4"/>
      <c r="X57" s="14"/>
      <c r="Y57" s="162"/>
      <c r="Z57" s="163"/>
      <c r="AA57" s="163"/>
      <c r="AB57" s="164"/>
      <c r="AC57" s="5"/>
      <c r="AD57" s="5"/>
      <c r="AE57" s="53">
        <f>+AD57-AC57</f>
        <v>0</v>
      </c>
    </row>
    <row r="58" spans="1:31" ht="45" customHeight="1">
      <c r="A58" s="1">
        <v>42</v>
      </c>
      <c r="B58" s="39"/>
      <c r="C58" s="40"/>
      <c r="D58" s="41"/>
      <c r="E58" s="41"/>
      <c r="F58" s="41"/>
      <c r="G58" s="46">
        <f>+IF(F58&gt;E58,(F58-E58)/(D58-E58),0)</f>
        <v>0</v>
      </c>
      <c r="H58" s="14"/>
      <c r="I58" s="1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4"/>
      <c r="X58" s="14"/>
      <c r="Y58" s="162"/>
      <c r="Z58" s="163"/>
      <c r="AA58" s="163"/>
      <c r="AB58" s="164"/>
      <c r="AC58" s="5"/>
      <c r="AD58" s="5"/>
      <c r="AE58" s="53">
        <f>+AD58-AC58</f>
        <v>0</v>
      </c>
    </row>
    <row r="59" spans="1:31" ht="45" customHeight="1">
      <c r="A59" s="1">
        <v>43</v>
      </c>
      <c r="B59" s="39"/>
      <c r="C59" s="40"/>
      <c r="D59" s="41"/>
      <c r="E59" s="41"/>
      <c r="F59" s="41"/>
      <c r="G59" s="46">
        <f>+IF(F59&gt;E59,(F59-E59)/(D59-E59),0)</f>
        <v>0</v>
      </c>
      <c r="H59" s="14"/>
      <c r="I59" s="1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14"/>
      <c r="X59" s="14"/>
      <c r="Y59" s="162"/>
      <c r="Z59" s="163"/>
      <c r="AA59" s="163"/>
      <c r="AB59" s="164"/>
      <c r="AC59" s="5"/>
      <c r="AD59" s="5"/>
      <c r="AE59" s="53">
        <f>+AD59-AC59</f>
        <v>0</v>
      </c>
    </row>
    <row r="60" spans="1:31" ht="45" customHeight="1">
      <c r="A60" s="1">
        <v>44</v>
      </c>
      <c r="B60" s="39"/>
      <c r="C60" s="40"/>
      <c r="D60" s="41"/>
      <c r="E60" s="41"/>
      <c r="F60" s="41"/>
      <c r="G60" s="46">
        <f>+IF(F60&gt;E60,(F60-E60)/(D60-E60),0)</f>
        <v>0</v>
      </c>
      <c r="H60" s="14"/>
      <c r="I60" s="1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14"/>
      <c r="X60" s="14"/>
      <c r="Y60" s="162"/>
      <c r="Z60" s="163"/>
      <c r="AA60" s="163"/>
      <c r="AB60" s="164"/>
      <c r="AC60" s="5"/>
      <c r="AD60" s="5"/>
      <c r="AE60" s="53">
        <f>+AD60-AC60</f>
        <v>0</v>
      </c>
    </row>
    <row r="61" spans="1:31" ht="45" customHeight="1">
      <c r="A61" s="1">
        <v>45</v>
      </c>
      <c r="B61" s="39"/>
      <c r="C61" s="40"/>
      <c r="D61" s="41"/>
      <c r="E61" s="41"/>
      <c r="F61" s="41"/>
      <c r="G61" s="46">
        <f>+IF(F61&gt;E61,(F61-E61)/(D61-E61),0)</f>
        <v>0</v>
      </c>
      <c r="H61" s="14"/>
      <c r="I61" s="1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14"/>
      <c r="X61" s="14"/>
      <c r="Y61" s="162"/>
      <c r="Z61" s="163"/>
      <c r="AA61" s="163"/>
      <c r="AB61" s="164"/>
      <c r="AC61" s="5"/>
      <c r="AD61" s="5"/>
      <c r="AE61" s="53">
        <f>+AD61-AC61</f>
        <v>0</v>
      </c>
    </row>
    <row r="62" spans="1:31" ht="45" customHeight="1">
      <c r="A62" s="1">
        <v>46</v>
      </c>
      <c r="B62" s="39"/>
      <c r="C62" s="40"/>
      <c r="D62" s="41"/>
      <c r="E62" s="41"/>
      <c r="F62" s="41"/>
      <c r="G62" s="46">
        <f>+IF(F62&gt;E62,(F62-E62)/(D62-E62),0)</f>
        <v>0</v>
      </c>
      <c r="H62" s="14"/>
      <c r="I62" s="1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14"/>
      <c r="X62" s="14"/>
      <c r="Y62" s="162"/>
      <c r="Z62" s="163"/>
      <c r="AA62" s="163"/>
      <c r="AB62" s="164"/>
      <c r="AC62" s="5"/>
      <c r="AD62" s="5"/>
      <c r="AE62" s="53">
        <f>+AD62-AC62</f>
        <v>0</v>
      </c>
    </row>
    <row r="63" spans="1:31" ht="45" customHeight="1">
      <c r="A63" s="1">
        <v>47</v>
      </c>
      <c r="B63" s="39"/>
      <c r="C63" s="40"/>
      <c r="D63" s="41"/>
      <c r="E63" s="41"/>
      <c r="F63" s="41"/>
      <c r="G63" s="46">
        <f>+IF(F63&gt;E63,(F63-E63)/(D63-E63),0)</f>
        <v>0</v>
      </c>
      <c r="H63" s="14"/>
      <c r="I63" s="1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14"/>
      <c r="X63" s="14"/>
      <c r="Y63" s="162"/>
      <c r="Z63" s="163"/>
      <c r="AA63" s="163"/>
      <c r="AB63" s="164"/>
      <c r="AC63" s="5"/>
      <c r="AD63" s="5"/>
      <c r="AE63" s="53">
        <f>+AD63-AC63</f>
        <v>0</v>
      </c>
    </row>
    <row r="64" spans="1:31" ht="45" customHeight="1">
      <c r="A64" s="1">
        <v>48</v>
      </c>
      <c r="B64" s="39"/>
      <c r="C64" s="40"/>
      <c r="D64" s="41"/>
      <c r="E64" s="41"/>
      <c r="F64" s="41"/>
      <c r="G64" s="46">
        <f>+IF(F64&gt;E64,(F64-E64)/(D64-E64),0)</f>
        <v>0</v>
      </c>
      <c r="H64" s="14"/>
      <c r="I64" s="1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14"/>
      <c r="X64" s="14"/>
      <c r="Y64" s="162"/>
      <c r="Z64" s="163"/>
      <c r="AA64" s="163"/>
      <c r="AB64" s="164"/>
      <c r="AC64" s="5"/>
      <c r="AD64" s="5"/>
      <c r="AE64" s="53">
        <f>+AD64-AC64</f>
        <v>0</v>
      </c>
    </row>
    <row r="65" spans="1:31" ht="45" customHeight="1">
      <c r="A65" s="1">
        <v>49</v>
      </c>
      <c r="B65" s="39"/>
      <c r="C65" s="40"/>
      <c r="D65" s="41"/>
      <c r="E65" s="41"/>
      <c r="F65" s="41"/>
      <c r="G65" s="46">
        <f>+IF(F65&gt;E65,(F65-E65)/(D65-E65),0)</f>
        <v>0</v>
      </c>
      <c r="H65" s="14"/>
      <c r="I65" s="1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14"/>
      <c r="X65" s="14"/>
      <c r="Y65" s="162"/>
      <c r="Z65" s="163"/>
      <c r="AA65" s="163"/>
      <c r="AB65" s="164"/>
      <c r="AC65" s="5"/>
      <c r="AD65" s="5"/>
      <c r="AE65" s="53">
        <f>+AD65-AC65</f>
        <v>0</v>
      </c>
    </row>
    <row r="66" spans="1:31" ht="45" customHeight="1">
      <c r="A66" s="1">
        <v>50</v>
      </c>
      <c r="B66" s="39"/>
      <c r="C66" s="40"/>
      <c r="D66" s="41"/>
      <c r="E66" s="41"/>
      <c r="F66" s="41"/>
      <c r="G66" s="46">
        <f>+IF(F66&gt;E66,(F66-E66)/(D66-E66),0)</f>
        <v>0</v>
      </c>
      <c r="H66" s="14"/>
      <c r="I66" s="1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4"/>
      <c r="X66" s="14"/>
      <c r="Y66" s="162"/>
      <c r="Z66" s="163"/>
      <c r="AA66" s="163"/>
      <c r="AB66" s="164"/>
      <c r="AC66" s="5"/>
      <c r="AD66" s="5"/>
      <c r="AE66" s="53">
        <f>+AD66-AC66</f>
        <v>0</v>
      </c>
    </row>
    <row r="67" spans="1:31" ht="45" customHeight="1">
      <c r="A67" s="1">
        <v>51</v>
      </c>
      <c r="B67" s="39"/>
      <c r="C67" s="40"/>
      <c r="D67" s="41"/>
      <c r="E67" s="41"/>
      <c r="F67" s="41"/>
      <c r="G67" s="46">
        <f>+IF(F67&gt;E67,(F67-E67)/(D67-E67),0)</f>
        <v>0</v>
      </c>
      <c r="H67" s="14"/>
      <c r="I67" s="1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4"/>
      <c r="X67" s="14"/>
      <c r="Y67" s="162"/>
      <c r="Z67" s="163"/>
      <c r="AA67" s="163"/>
      <c r="AB67" s="164"/>
      <c r="AC67" s="5"/>
      <c r="AD67" s="5"/>
      <c r="AE67" s="53">
        <f>+AD67-AC67</f>
        <v>0</v>
      </c>
    </row>
    <row r="68" spans="1:31" ht="45" customHeight="1">
      <c r="A68" s="1">
        <v>52</v>
      </c>
      <c r="B68" s="39"/>
      <c r="C68" s="40"/>
      <c r="D68" s="41"/>
      <c r="E68" s="41"/>
      <c r="F68" s="41"/>
      <c r="G68" s="46">
        <f>+IF(F68&gt;E68,(F68-E68)/(D68-E68),0)</f>
        <v>0</v>
      </c>
      <c r="H68" s="14"/>
      <c r="I68" s="1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4"/>
      <c r="X68" s="14"/>
      <c r="Y68" s="162"/>
      <c r="Z68" s="163"/>
      <c r="AA68" s="163"/>
      <c r="AB68" s="164"/>
      <c r="AC68" s="5"/>
      <c r="AD68" s="5"/>
      <c r="AE68" s="53">
        <f>+AD68-AC68</f>
        <v>0</v>
      </c>
    </row>
    <row r="69" spans="1:31" ht="45" customHeight="1">
      <c r="A69" s="1">
        <v>53</v>
      </c>
      <c r="B69" s="39"/>
      <c r="C69" s="40"/>
      <c r="D69" s="41"/>
      <c r="E69" s="41"/>
      <c r="F69" s="41"/>
      <c r="G69" s="46">
        <f>+IF(F69&gt;E69,(F69-E69)/(D69-E69),0)</f>
        <v>0</v>
      </c>
      <c r="H69" s="14"/>
      <c r="I69" s="1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14"/>
      <c r="X69" s="14"/>
      <c r="Y69" s="162"/>
      <c r="Z69" s="163"/>
      <c r="AA69" s="163"/>
      <c r="AB69" s="164"/>
      <c r="AC69" s="5"/>
      <c r="AD69" s="5"/>
      <c r="AE69" s="53">
        <f>+AD69-AC69</f>
        <v>0</v>
      </c>
    </row>
    <row r="70" spans="1:31" ht="45" customHeight="1">
      <c r="A70" s="1">
        <v>54</v>
      </c>
      <c r="B70" s="39"/>
      <c r="C70" s="40"/>
      <c r="D70" s="41"/>
      <c r="E70" s="41"/>
      <c r="F70" s="41"/>
      <c r="G70" s="46">
        <f>+IF(F70&gt;E70,(F70-E70)/(D70-E70),0)</f>
        <v>0</v>
      </c>
      <c r="H70" s="14"/>
      <c r="I70" s="1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4"/>
      <c r="X70" s="14"/>
      <c r="Y70" s="162"/>
      <c r="Z70" s="163"/>
      <c r="AA70" s="163"/>
      <c r="AB70" s="164"/>
      <c r="AC70" s="5"/>
      <c r="AD70" s="5"/>
      <c r="AE70" s="53">
        <f>+AD70-AC70</f>
        <v>0</v>
      </c>
    </row>
    <row r="71" spans="1:31" ht="45" customHeight="1">
      <c r="A71" s="1">
        <v>55</v>
      </c>
      <c r="B71" s="39"/>
      <c r="C71" s="40"/>
      <c r="D71" s="41"/>
      <c r="E71" s="41"/>
      <c r="F71" s="41"/>
      <c r="G71" s="46">
        <f>+IF(F71&gt;E71,(F71-E71)/(D71-E71),0)</f>
        <v>0</v>
      </c>
      <c r="H71" s="14"/>
      <c r="I71" s="1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4"/>
      <c r="X71" s="14"/>
      <c r="Y71" s="162"/>
      <c r="Z71" s="163"/>
      <c r="AA71" s="163"/>
      <c r="AB71" s="164"/>
      <c r="AC71" s="5"/>
      <c r="AD71" s="5"/>
      <c r="AE71" s="53">
        <f>+AD71-AC71</f>
        <v>0</v>
      </c>
    </row>
    <row r="72" spans="1:31" ht="45" customHeight="1">
      <c r="A72" s="1">
        <v>56</v>
      </c>
      <c r="B72" s="39"/>
      <c r="C72" s="40"/>
      <c r="D72" s="41"/>
      <c r="E72" s="41"/>
      <c r="F72" s="41"/>
      <c r="G72" s="46">
        <f>+IF(F72&gt;E72,(F72-E72)/(D72-E72),0)</f>
        <v>0</v>
      </c>
      <c r="H72" s="14"/>
      <c r="I72" s="1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14"/>
      <c r="X72" s="14"/>
      <c r="Y72" s="162"/>
      <c r="Z72" s="163"/>
      <c r="AA72" s="163"/>
      <c r="AB72" s="164"/>
      <c r="AC72" s="5"/>
      <c r="AD72" s="5"/>
      <c r="AE72" s="53">
        <f>+AD72-AC72</f>
        <v>0</v>
      </c>
    </row>
    <row r="73" spans="1:31" ht="45" customHeight="1">
      <c r="A73" s="1">
        <v>57</v>
      </c>
      <c r="B73" s="39"/>
      <c r="C73" s="40"/>
      <c r="D73" s="41"/>
      <c r="E73" s="41"/>
      <c r="F73" s="41"/>
      <c r="G73" s="46">
        <f>+IF(F73&gt;E73,(F73-E73)/(D73-E73),0)</f>
        <v>0</v>
      </c>
      <c r="H73" s="14"/>
      <c r="I73" s="1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14"/>
      <c r="X73" s="14"/>
      <c r="Y73" s="162"/>
      <c r="Z73" s="163"/>
      <c r="AA73" s="163"/>
      <c r="AB73" s="164"/>
      <c r="AC73" s="5"/>
      <c r="AD73" s="5"/>
      <c r="AE73" s="53">
        <f>+AD73-AC73</f>
        <v>0</v>
      </c>
    </row>
    <row r="74" spans="1:31" ht="45" customHeight="1">
      <c r="A74" s="1">
        <v>58</v>
      </c>
      <c r="B74" s="39"/>
      <c r="C74" s="40"/>
      <c r="D74" s="41"/>
      <c r="E74" s="41"/>
      <c r="F74" s="41"/>
      <c r="G74" s="46">
        <f>+IF(F74&gt;E74,(F74-E74)/(D74-E74),0)</f>
        <v>0</v>
      </c>
      <c r="H74" s="14"/>
      <c r="I74" s="1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14"/>
      <c r="X74" s="14"/>
      <c r="Y74" s="162"/>
      <c r="Z74" s="163"/>
      <c r="AA74" s="163"/>
      <c r="AB74" s="164"/>
      <c r="AC74" s="5"/>
      <c r="AD74" s="5"/>
      <c r="AE74" s="53">
        <f>+AD74-AC74</f>
        <v>0</v>
      </c>
    </row>
    <row r="75" spans="1:31" ht="45" customHeight="1">
      <c r="A75" s="1">
        <v>59</v>
      </c>
      <c r="B75" s="39"/>
      <c r="C75" s="40"/>
      <c r="D75" s="41"/>
      <c r="E75" s="41"/>
      <c r="F75" s="41"/>
      <c r="G75" s="46">
        <f>+IF(F75&gt;E75,(F75-E75)/(D75-E75),0)</f>
        <v>0</v>
      </c>
      <c r="H75" s="14"/>
      <c r="I75" s="1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14"/>
      <c r="X75" s="14"/>
      <c r="Y75" s="162"/>
      <c r="Z75" s="163"/>
      <c r="AA75" s="163"/>
      <c r="AB75" s="164"/>
      <c r="AC75" s="5"/>
      <c r="AD75" s="5"/>
      <c r="AE75" s="53">
        <f>+AD75-AC75</f>
        <v>0</v>
      </c>
    </row>
    <row r="76" spans="1:31" ht="45" customHeight="1">
      <c r="A76" s="1">
        <v>60</v>
      </c>
      <c r="B76" s="39"/>
      <c r="C76" s="40"/>
      <c r="D76" s="41"/>
      <c r="E76" s="41"/>
      <c r="F76" s="41"/>
      <c r="G76" s="46">
        <f>+IF(F76&gt;E76,(F76-E76)/(D76-E76),0)</f>
        <v>0</v>
      </c>
      <c r="H76" s="14"/>
      <c r="I76" s="1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14"/>
      <c r="X76" s="14"/>
      <c r="Y76" s="162"/>
      <c r="Z76" s="163"/>
      <c r="AA76" s="163"/>
      <c r="AB76" s="164"/>
      <c r="AC76" s="5"/>
      <c r="AD76" s="5"/>
      <c r="AE76" s="53">
        <f>+AD76-AC76</f>
        <v>0</v>
      </c>
    </row>
    <row r="77" spans="1:31" ht="45" customHeight="1">
      <c r="A77" s="1">
        <v>61</v>
      </c>
      <c r="B77" s="39"/>
      <c r="C77" s="40"/>
      <c r="D77" s="41"/>
      <c r="E77" s="41"/>
      <c r="F77" s="41"/>
      <c r="G77" s="46">
        <f>+IF(F77&gt;E77,(F77-E77)/(D77-E77),0)</f>
        <v>0</v>
      </c>
      <c r="H77" s="14"/>
      <c r="I77" s="1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14"/>
      <c r="X77" s="14"/>
      <c r="Y77" s="162"/>
      <c r="Z77" s="163"/>
      <c r="AA77" s="163"/>
      <c r="AB77" s="164"/>
      <c r="AC77" s="5"/>
      <c r="AD77" s="5"/>
      <c r="AE77" s="53">
        <f>+AD77-AC77</f>
        <v>0</v>
      </c>
    </row>
    <row r="78" spans="1:31" ht="45" customHeight="1">
      <c r="A78" s="1">
        <v>62</v>
      </c>
      <c r="B78" s="39"/>
      <c r="C78" s="40"/>
      <c r="D78" s="41"/>
      <c r="E78" s="41"/>
      <c r="F78" s="41"/>
      <c r="G78" s="46">
        <f>+IF(F78&gt;E78,(F78-E78)/(D78-E78),0)</f>
        <v>0</v>
      </c>
      <c r="H78" s="14"/>
      <c r="I78" s="1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14"/>
      <c r="X78" s="14"/>
      <c r="Y78" s="162"/>
      <c r="Z78" s="163"/>
      <c r="AA78" s="163"/>
      <c r="AB78" s="164"/>
      <c r="AC78" s="5"/>
      <c r="AD78" s="5"/>
      <c r="AE78" s="53">
        <f>+AD78-AC78</f>
        <v>0</v>
      </c>
    </row>
    <row r="79" spans="1:31" ht="45" customHeight="1">
      <c r="A79" s="1">
        <v>63</v>
      </c>
      <c r="B79" s="39"/>
      <c r="C79" s="40"/>
      <c r="D79" s="41"/>
      <c r="E79" s="41"/>
      <c r="F79" s="41"/>
      <c r="G79" s="46">
        <f>+IF(F79&gt;E79,(F79-E79)/(D79-E79),0)</f>
        <v>0</v>
      </c>
      <c r="H79" s="14"/>
      <c r="I79" s="1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14"/>
      <c r="X79" s="14"/>
      <c r="Y79" s="162"/>
      <c r="Z79" s="163"/>
      <c r="AA79" s="163"/>
      <c r="AB79" s="164"/>
      <c r="AC79" s="5"/>
      <c r="AD79" s="5"/>
      <c r="AE79" s="53">
        <f>+AD79-AC79</f>
        <v>0</v>
      </c>
    </row>
    <row r="80" spans="1:31" ht="45" customHeight="1">
      <c r="A80" s="1">
        <v>64</v>
      </c>
      <c r="B80" s="39"/>
      <c r="C80" s="40"/>
      <c r="D80" s="41"/>
      <c r="E80" s="41"/>
      <c r="F80" s="41"/>
      <c r="G80" s="46">
        <f>+IF(F80&gt;E80,(F80-E80)/(D80-E80),0)</f>
        <v>0</v>
      </c>
      <c r="H80" s="14"/>
      <c r="I80" s="1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14"/>
      <c r="X80" s="14"/>
      <c r="Y80" s="162"/>
      <c r="Z80" s="163"/>
      <c r="AA80" s="163"/>
      <c r="AB80" s="164"/>
      <c r="AC80" s="5"/>
      <c r="AD80" s="5"/>
      <c r="AE80" s="53">
        <f>+AD80-AC80</f>
        <v>0</v>
      </c>
    </row>
    <row r="81" spans="1:31" ht="45" customHeight="1">
      <c r="A81" s="1">
        <v>65</v>
      </c>
      <c r="B81" s="39"/>
      <c r="C81" s="40"/>
      <c r="D81" s="41"/>
      <c r="E81" s="41"/>
      <c r="F81" s="41"/>
      <c r="G81" s="46">
        <f>+IF(F81&gt;E81,(F81-E81)/(D81-E81),0)</f>
        <v>0</v>
      </c>
      <c r="H81" s="14"/>
      <c r="I81" s="1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14"/>
      <c r="X81" s="14"/>
      <c r="Y81" s="162"/>
      <c r="Z81" s="163"/>
      <c r="AA81" s="163"/>
      <c r="AB81" s="164"/>
      <c r="AC81" s="5"/>
      <c r="AD81" s="5"/>
      <c r="AE81" s="53">
        <f>+AD81-AC81</f>
        <v>0</v>
      </c>
    </row>
    <row r="82" spans="1:31" ht="45" customHeight="1">
      <c r="A82" s="1">
        <v>66</v>
      </c>
      <c r="B82" s="39"/>
      <c r="C82" s="40"/>
      <c r="D82" s="41"/>
      <c r="E82" s="41"/>
      <c r="F82" s="41"/>
      <c r="G82" s="46">
        <f>+IF(F82&gt;E82,(F82-E82)/(D82-E82),0)</f>
        <v>0</v>
      </c>
      <c r="H82" s="14"/>
      <c r="I82" s="1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14"/>
      <c r="X82" s="14"/>
      <c r="Y82" s="162"/>
      <c r="Z82" s="163"/>
      <c r="AA82" s="163"/>
      <c r="AB82" s="164"/>
      <c r="AC82" s="5"/>
      <c r="AD82" s="5"/>
      <c r="AE82" s="53">
        <f>+AD82-AC82</f>
        <v>0</v>
      </c>
    </row>
    <row r="83" spans="1:31" ht="45" customHeight="1">
      <c r="A83" s="1">
        <v>67</v>
      </c>
      <c r="B83" s="39"/>
      <c r="C83" s="40"/>
      <c r="D83" s="41"/>
      <c r="E83" s="41"/>
      <c r="F83" s="41"/>
      <c r="G83" s="46">
        <f>+IF(F83&gt;E83,(F83-E83)/(D83-E83),0)</f>
        <v>0</v>
      </c>
      <c r="H83" s="14"/>
      <c r="I83" s="1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14"/>
      <c r="X83" s="14"/>
      <c r="Y83" s="162"/>
      <c r="Z83" s="163"/>
      <c r="AA83" s="163"/>
      <c r="AB83" s="164"/>
      <c r="AC83" s="5"/>
      <c r="AD83" s="5"/>
      <c r="AE83" s="53">
        <f>+AD83-AC83</f>
        <v>0</v>
      </c>
    </row>
    <row r="84" spans="1:31" ht="45" customHeight="1">
      <c r="A84" s="1">
        <v>68</v>
      </c>
      <c r="B84" s="39"/>
      <c r="C84" s="40"/>
      <c r="D84" s="41"/>
      <c r="E84" s="41"/>
      <c r="F84" s="41"/>
      <c r="G84" s="46">
        <f>+IF(F84&gt;E84,(F84-E84)/(D84-E84),0)</f>
        <v>0</v>
      </c>
      <c r="H84" s="14"/>
      <c r="I84" s="1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14"/>
      <c r="X84" s="14"/>
      <c r="Y84" s="162"/>
      <c r="Z84" s="163"/>
      <c r="AA84" s="163"/>
      <c r="AB84" s="164"/>
      <c r="AC84" s="5"/>
      <c r="AD84" s="5"/>
      <c r="AE84" s="53">
        <f>+AD84-AC84</f>
        <v>0</v>
      </c>
    </row>
    <row r="85" spans="1:31" ht="45" customHeight="1">
      <c r="B85" s="2"/>
      <c r="C85" s="2"/>
      <c r="D85" s="2"/>
      <c r="E85" s="2"/>
      <c r="F85" s="42"/>
      <c r="G85" s="42"/>
      <c r="H85" s="42"/>
      <c r="I85" s="42"/>
      <c r="J85" s="43"/>
      <c r="K85" s="42"/>
      <c r="L85" s="42"/>
      <c r="M85" s="2"/>
      <c r="N85" s="4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31" ht="45" customHeight="1">
      <c r="B86" s="165" t="s">
        <v>83</v>
      </c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</row>
    <row r="87" spans="1:31" ht="45" customHeight="1"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</row>
    <row r="88" spans="1:31" ht="45" customHeight="1"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</row>
    <row r="89" spans="1:31" ht="45" customHeight="1"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</row>
    <row r="90" spans="1:31" ht="45" customHeight="1"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</row>
    <row r="91" spans="1:31" ht="45" customHeight="1"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</row>
    <row r="92" spans="1:31" ht="45" customHeight="1"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</row>
    <row r="93" spans="1:31" ht="45" customHeight="1"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</row>
    <row r="94" spans="1:31" ht="45" customHeight="1"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</row>
    <row r="95" spans="1:31" ht="45" customHeight="1"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</row>
    <row r="96" spans="1:31" ht="45" customHeight="1"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</row>
    <row r="97" spans="2:25" ht="45" customHeight="1"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</row>
    <row r="98" spans="2:25" ht="45" customHeight="1"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</row>
    <row r="99" spans="2:25" ht="45" customHeight="1"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</row>
    <row r="100" spans="2:25" ht="45" customHeight="1"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</row>
    <row r="101" spans="2:25" ht="45" customHeight="1"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</row>
    <row r="102" spans="2:25" ht="45" customHeight="1"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</row>
    <row r="103" spans="2:25" ht="45" customHeight="1"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</row>
    <row r="104" spans="2:25" ht="45" customHeight="1"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</row>
    <row r="105" spans="2:25" ht="45" customHeight="1"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</row>
    <row r="106" spans="2:25" ht="45" customHeight="1">
      <c r="B106" s="8"/>
      <c r="C106" s="8"/>
      <c r="D106" s="8"/>
      <c r="E106" s="8"/>
      <c r="F106" s="8"/>
      <c r="G106" s="8"/>
      <c r="H106" s="8"/>
      <c r="I106" s="8"/>
      <c r="J106" s="44"/>
      <c r="K106" s="45"/>
      <c r="L106" s="45"/>
      <c r="M106" s="8"/>
      <c r="N106" s="45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2"/>
    </row>
    <row r="107" spans="2:25" ht="45" customHeight="1">
      <c r="B107" s="8"/>
      <c r="C107" s="8"/>
      <c r="D107" s="8"/>
      <c r="E107" s="8"/>
      <c r="F107" s="8"/>
      <c r="G107" s="8"/>
      <c r="H107" s="8"/>
      <c r="I107" s="8"/>
      <c r="J107" s="44"/>
      <c r="K107" s="45"/>
      <c r="L107" s="45"/>
      <c r="M107" s="8"/>
      <c r="N107" s="45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2"/>
    </row>
    <row r="108" spans="2:25" ht="45" customHeight="1">
      <c r="B108" s="8"/>
      <c r="C108" s="8"/>
      <c r="D108" s="8"/>
      <c r="E108" s="8"/>
      <c r="F108" s="8"/>
      <c r="G108" s="8"/>
      <c r="H108" s="8"/>
      <c r="I108" s="8"/>
      <c r="J108" s="44"/>
      <c r="K108" s="45"/>
      <c r="L108" s="45"/>
      <c r="M108" s="8"/>
      <c r="N108" s="4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2"/>
    </row>
    <row r="109" spans="2:25" ht="45" customHeight="1">
      <c r="B109" s="8"/>
      <c r="C109" s="8"/>
      <c r="D109" s="8"/>
      <c r="E109" s="8"/>
      <c r="F109" s="8"/>
      <c r="G109" s="8"/>
      <c r="H109" s="8"/>
      <c r="I109" s="8"/>
      <c r="J109" s="44"/>
      <c r="K109" s="45"/>
      <c r="L109" s="45"/>
      <c r="M109" s="8"/>
      <c r="N109" s="45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2"/>
    </row>
    <row r="110" spans="2:25" ht="45" customHeight="1">
      <c r="B110" s="8"/>
      <c r="C110" s="8"/>
      <c r="D110" s="8"/>
      <c r="E110" s="8"/>
      <c r="F110" s="8"/>
      <c r="G110" s="8"/>
      <c r="H110" s="8"/>
      <c r="I110" s="8"/>
      <c r="J110" s="44"/>
      <c r="K110" s="45"/>
      <c r="L110" s="45"/>
      <c r="M110" s="8"/>
      <c r="N110" s="45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2"/>
    </row>
    <row r="111" spans="2:25" ht="45" customHeight="1">
      <c r="B111" s="8"/>
      <c r="C111" s="8"/>
      <c r="D111" s="8"/>
      <c r="E111" s="8"/>
      <c r="F111" s="8"/>
      <c r="G111" s="8"/>
      <c r="H111" s="8"/>
      <c r="I111" s="8"/>
      <c r="J111" s="44"/>
      <c r="K111" s="45"/>
      <c r="L111" s="45"/>
      <c r="M111" s="8"/>
      <c r="N111" s="45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2"/>
    </row>
    <row r="112" spans="2:25" ht="45" customHeight="1">
      <c r="B112" s="8"/>
      <c r="C112" s="8"/>
      <c r="D112" s="8"/>
      <c r="E112" s="8"/>
      <c r="F112" s="8"/>
      <c r="G112" s="8"/>
      <c r="H112" s="8"/>
      <c r="I112" s="8"/>
      <c r="J112" s="44"/>
      <c r="K112" s="45"/>
      <c r="L112" s="45"/>
      <c r="M112" s="8"/>
      <c r="N112" s="45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2"/>
    </row>
    <row r="113" spans="2:25" ht="45" customHeight="1">
      <c r="B113" s="2"/>
      <c r="C113" s="2"/>
      <c r="D113" s="2"/>
      <c r="E113" s="2"/>
      <c r="F113" s="2"/>
      <c r="G113" s="2"/>
      <c r="H113" s="2"/>
      <c r="I113" s="2"/>
      <c r="J113" s="43"/>
      <c r="K113" s="42"/>
      <c r="L113" s="42"/>
      <c r="M113" s="2"/>
      <c r="N113" s="4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2:25" ht="45" customHeight="1">
      <c r="B114" s="2"/>
      <c r="C114" s="2"/>
      <c r="D114" s="2"/>
      <c r="E114" s="2"/>
      <c r="F114" s="2"/>
      <c r="G114" s="2"/>
      <c r="H114" s="2"/>
      <c r="I114" s="2"/>
      <c r="J114" s="43"/>
      <c r="K114" s="42"/>
      <c r="L114" s="42"/>
      <c r="M114" s="2"/>
      <c r="N114" s="4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2:25" ht="45" customHeight="1">
      <c r="B115" s="2"/>
      <c r="C115" s="2"/>
      <c r="D115" s="2"/>
      <c r="E115" s="2"/>
      <c r="F115" s="2"/>
      <c r="G115" s="2"/>
      <c r="H115" s="2"/>
      <c r="I115" s="2"/>
      <c r="J115" s="43"/>
      <c r="K115" s="42"/>
      <c r="L115" s="42"/>
      <c r="M115" s="2"/>
      <c r="N115" s="4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2:25" ht="45" customHeight="1">
      <c r="B116" s="2"/>
      <c r="C116" s="2"/>
      <c r="D116" s="2"/>
      <c r="E116" s="2"/>
      <c r="F116" s="2"/>
      <c r="G116" s="2"/>
      <c r="H116" s="2"/>
      <c r="I116" s="2"/>
      <c r="J116" s="43"/>
      <c r="K116" s="42"/>
      <c r="L116" s="42"/>
      <c r="M116" s="2"/>
      <c r="N116" s="4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25" ht="45" customHeight="1">
      <c r="B117" s="2"/>
      <c r="C117" s="2"/>
      <c r="D117" s="2"/>
      <c r="E117" s="2"/>
      <c r="F117" s="2"/>
      <c r="G117" s="2"/>
      <c r="H117" s="2"/>
      <c r="I117" s="2"/>
      <c r="J117" s="43"/>
      <c r="K117" s="42"/>
      <c r="L117" s="42"/>
      <c r="M117" s="2"/>
      <c r="N117" s="4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25" ht="45" customHeight="1">
      <c r="B118" s="2"/>
      <c r="C118" s="2"/>
      <c r="D118" s="2"/>
      <c r="E118" s="2"/>
      <c r="F118" s="2"/>
      <c r="G118" s="2"/>
      <c r="H118" s="2"/>
      <c r="I118" s="2"/>
      <c r="J118" s="43"/>
      <c r="K118" s="42"/>
      <c r="L118" s="42"/>
      <c r="M118" s="2"/>
      <c r="N118" s="4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25" ht="45" customHeight="1">
      <c r="B119" s="2"/>
      <c r="C119" s="2"/>
      <c r="D119" s="2"/>
      <c r="E119" s="2"/>
      <c r="F119" s="2"/>
      <c r="G119" s="2"/>
      <c r="H119" s="2"/>
      <c r="I119" s="2"/>
      <c r="J119" s="43"/>
      <c r="K119" s="42"/>
      <c r="L119" s="42"/>
      <c r="M119" s="2"/>
      <c r="N119" s="4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25" ht="45" customHeight="1">
      <c r="B120" s="2"/>
      <c r="C120" s="2"/>
      <c r="D120" s="2"/>
      <c r="E120" s="2"/>
      <c r="F120" s="2"/>
      <c r="G120" s="2"/>
      <c r="H120" s="2"/>
      <c r="I120" s="2"/>
      <c r="J120" s="43"/>
      <c r="K120" s="42"/>
      <c r="L120" s="42"/>
      <c r="M120" s="2"/>
      <c r="N120" s="4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2:25" ht="45" customHeight="1">
      <c r="B121" s="2"/>
      <c r="C121" s="2"/>
      <c r="D121" s="2"/>
      <c r="E121" s="2"/>
      <c r="F121" s="2"/>
      <c r="G121" s="2"/>
      <c r="H121" s="2"/>
      <c r="I121" s="2"/>
      <c r="J121" s="43"/>
      <c r="K121" s="42"/>
      <c r="L121" s="42"/>
      <c r="M121" s="2"/>
      <c r="N121" s="4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2:25" ht="45" customHeight="1">
      <c r="B122" s="2"/>
      <c r="C122" s="2"/>
      <c r="D122" s="2"/>
      <c r="E122" s="2"/>
      <c r="F122" s="2"/>
      <c r="G122" s="2"/>
      <c r="H122" s="2"/>
      <c r="I122" s="2"/>
      <c r="J122" s="43"/>
      <c r="K122" s="42"/>
      <c r="L122" s="42"/>
      <c r="M122" s="2"/>
      <c r="N122" s="4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2:25" ht="45" customHeight="1">
      <c r="B123" s="2"/>
      <c r="C123" s="2"/>
      <c r="D123" s="2"/>
      <c r="E123" s="2"/>
      <c r="F123" s="2"/>
      <c r="G123" s="2"/>
      <c r="H123" s="2"/>
      <c r="I123" s="2"/>
      <c r="J123" s="43"/>
      <c r="K123" s="42"/>
      <c r="L123" s="42"/>
      <c r="M123" s="2"/>
      <c r="N123" s="4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2:25" ht="45" customHeight="1">
      <c r="B124" s="2"/>
      <c r="C124" s="2"/>
      <c r="D124" s="2"/>
      <c r="E124" s="2"/>
      <c r="F124" s="2"/>
      <c r="G124" s="2"/>
      <c r="H124" s="2"/>
      <c r="I124" s="2"/>
      <c r="J124" s="43"/>
      <c r="K124" s="42"/>
      <c r="L124" s="42"/>
      <c r="M124" s="2"/>
      <c r="N124" s="4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2:25" ht="45" customHeight="1">
      <c r="B125" s="2"/>
      <c r="C125" s="2"/>
      <c r="D125" s="2"/>
      <c r="E125" s="2"/>
      <c r="F125" s="2"/>
      <c r="G125" s="2"/>
      <c r="H125" s="2"/>
      <c r="I125" s="2"/>
      <c r="J125" s="43"/>
      <c r="K125" s="42"/>
      <c r="L125" s="42"/>
      <c r="M125" s="2"/>
      <c r="N125" s="4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2:25" ht="45" customHeight="1">
      <c r="B126" s="2"/>
      <c r="C126" s="2"/>
      <c r="D126" s="2"/>
      <c r="E126" s="2"/>
      <c r="F126" s="2"/>
      <c r="G126" s="2"/>
      <c r="H126" s="2"/>
      <c r="I126" s="2"/>
      <c r="J126" s="43"/>
      <c r="K126" s="42"/>
      <c r="L126" s="42"/>
      <c r="M126" s="2"/>
      <c r="N126" s="4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2:25" ht="45" customHeight="1">
      <c r="B127" s="2"/>
      <c r="C127" s="2"/>
      <c r="D127" s="2"/>
      <c r="E127" s="2"/>
      <c r="F127" s="2"/>
      <c r="G127" s="2"/>
      <c r="H127" s="2"/>
      <c r="I127" s="2"/>
      <c r="J127" s="43"/>
      <c r="K127" s="42"/>
      <c r="L127" s="42"/>
      <c r="M127" s="2"/>
      <c r="N127" s="4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2:25" ht="45" customHeight="1">
      <c r="B128" s="2"/>
      <c r="C128" s="2"/>
      <c r="D128" s="2"/>
      <c r="E128" s="2"/>
      <c r="F128" s="2"/>
      <c r="G128" s="2"/>
      <c r="H128" s="2"/>
      <c r="I128" s="2"/>
      <c r="J128" s="43"/>
      <c r="K128" s="42"/>
      <c r="L128" s="42"/>
      <c r="M128" s="2"/>
      <c r="N128" s="4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2:25" ht="45" customHeight="1">
      <c r="B129" s="2"/>
      <c r="C129" s="2"/>
      <c r="D129" s="2"/>
      <c r="E129" s="2"/>
      <c r="F129" s="2"/>
      <c r="G129" s="2"/>
      <c r="H129" s="2"/>
      <c r="I129" s="2"/>
      <c r="J129" s="43"/>
      <c r="K129" s="42"/>
      <c r="L129" s="42"/>
      <c r="M129" s="2"/>
      <c r="N129" s="4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2:25" ht="45" customHeight="1">
      <c r="B130" s="2"/>
      <c r="C130" s="2"/>
      <c r="D130" s="2"/>
      <c r="E130" s="2"/>
      <c r="F130" s="2"/>
      <c r="G130" s="2"/>
      <c r="H130" s="2"/>
      <c r="I130" s="2"/>
      <c r="J130" s="43"/>
      <c r="K130" s="42"/>
      <c r="L130" s="42"/>
      <c r="M130" s="2"/>
      <c r="N130" s="4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2:25" ht="45" customHeight="1">
      <c r="B131" s="2"/>
      <c r="C131" s="2"/>
      <c r="D131" s="2"/>
      <c r="E131" s="2"/>
      <c r="F131" s="2"/>
      <c r="G131" s="2"/>
      <c r="H131" s="2"/>
      <c r="I131" s="2"/>
      <c r="J131" s="43"/>
      <c r="K131" s="42"/>
      <c r="L131" s="42"/>
      <c r="M131" s="2"/>
      <c r="N131" s="4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2:25" ht="45" customHeight="1">
      <c r="B132" s="2"/>
      <c r="C132" s="2"/>
      <c r="D132" s="2"/>
      <c r="E132" s="2"/>
      <c r="F132" s="2"/>
      <c r="G132" s="2"/>
      <c r="H132" s="2"/>
      <c r="I132" s="2"/>
      <c r="J132" s="43"/>
      <c r="K132" s="42"/>
      <c r="L132" s="42"/>
      <c r="M132" s="2"/>
      <c r="N132" s="4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2:25" ht="45" customHeight="1">
      <c r="B133" s="2"/>
      <c r="C133" s="2"/>
      <c r="D133" s="2"/>
      <c r="E133" s="2"/>
      <c r="F133" s="2"/>
      <c r="G133" s="2"/>
      <c r="H133" s="2"/>
      <c r="I133" s="2"/>
      <c r="J133" s="43"/>
      <c r="K133" s="42"/>
      <c r="L133" s="42"/>
      <c r="M133" s="2"/>
      <c r="N133" s="4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2:25" ht="45" customHeight="1">
      <c r="B134" s="2"/>
      <c r="C134" s="2"/>
      <c r="D134" s="2"/>
      <c r="E134" s="2"/>
      <c r="F134" s="2"/>
      <c r="G134" s="2"/>
      <c r="H134" s="2"/>
      <c r="I134" s="2"/>
      <c r="J134" s="43"/>
      <c r="K134" s="42"/>
      <c r="L134" s="42"/>
      <c r="M134" s="2"/>
      <c r="N134" s="4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2:25" ht="45" customHeight="1">
      <c r="B135" s="2"/>
      <c r="C135" s="2"/>
      <c r="D135" s="2"/>
      <c r="E135" s="2"/>
      <c r="F135" s="2"/>
      <c r="G135" s="2"/>
      <c r="H135" s="2"/>
      <c r="I135" s="2"/>
      <c r="J135" s="43"/>
      <c r="K135" s="42"/>
      <c r="L135" s="42"/>
      <c r="M135" s="2"/>
      <c r="N135" s="4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2:25" ht="45" customHeight="1">
      <c r="B136" s="2"/>
      <c r="C136" s="2"/>
      <c r="D136" s="2"/>
      <c r="E136" s="2"/>
      <c r="F136" s="2"/>
      <c r="G136" s="2"/>
      <c r="H136" s="2"/>
      <c r="I136" s="2"/>
      <c r="J136" s="43"/>
      <c r="K136" s="42"/>
      <c r="L136" s="42"/>
      <c r="M136" s="2"/>
      <c r="N136" s="4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2:25" ht="45" customHeight="1">
      <c r="B137" s="2"/>
      <c r="C137" s="2"/>
      <c r="D137" s="2"/>
      <c r="E137" s="2"/>
      <c r="F137" s="2"/>
      <c r="G137" s="2"/>
      <c r="H137" s="2"/>
      <c r="I137" s="2"/>
      <c r="J137" s="43"/>
      <c r="K137" s="42"/>
      <c r="L137" s="42"/>
      <c r="M137" s="2"/>
      <c r="N137" s="4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2:25" ht="45" customHeight="1">
      <c r="B138" s="2"/>
      <c r="C138" s="2"/>
      <c r="D138" s="2"/>
      <c r="E138" s="2"/>
      <c r="F138" s="2"/>
      <c r="G138" s="2"/>
      <c r="H138" s="2"/>
      <c r="I138" s="2"/>
      <c r="J138" s="43"/>
      <c r="K138" s="42"/>
      <c r="L138" s="42"/>
      <c r="M138" s="2"/>
      <c r="N138" s="4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2:25" ht="45" customHeight="1">
      <c r="B139" s="2"/>
      <c r="C139" s="2"/>
      <c r="D139" s="2"/>
      <c r="E139" s="2"/>
      <c r="F139" s="2"/>
      <c r="G139" s="2"/>
      <c r="H139" s="2"/>
      <c r="I139" s="2"/>
      <c r="J139" s="43"/>
      <c r="K139" s="42"/>
      <c r="L139" s="42"/>
      <c r="M139" s="2"/>
      <c r="N139" s="4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2:25" ht="45" customHeight="1">
      <c r="B140" s="2"/>
      <c r="C140" s="2"/>
      <c r="D140" s="2"/>
      <c r="E140" s="2"/>
      <c r="F140" s="2"/>
      <c r="G140" s="2"/>
      <c r="H140" s="2"/>
      <c r="I140" s="2"/>
      <c r="J140" s="43"/>
      <c r="K140" s="42"/>
      <c r="L140" s="42"/>
      <c r="M140" s="2"/>
      <c r="N140" s="4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2:25" ht="45" customHeight="1">
      <c r="B141" s="2"/>
      <c r="C141" s="2"/>
      <c r="D141" s="2"/>
      <c r="E141" s="2"/>
      <c r="F141" s="2"/>
      <c r="G141" s="2"/>
      <c r="H141" s="2"/>
      <c r="I141" s="2"/>
      <c r="J141" s="43"/>
      <c r="K141" s="42"/>
      <c r="L141" s="42"/>
      <c r="M141" s="2"/>
      <c r="N141" s="4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2:25" ht="45" customHeight="1">
      <c r="B142" s="2"/>
      <c r="C142" s="2"/>
      <c r="D142" s="2"/>
      <c r="E142" s="2"/>
      <c r="F142" s="2"/>
      <c r="G142" s="2"/>
      <c r="H142" s="2"/>
      <c r="I142" s="2"/>
      <c r="J142" s="43"/>
      <c r="K142" s="42"/>
      <c r="L142" s="42"/>
      <c r="M142" s="2"/>
      <c r="N142" s="4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2:25" ht="45" customHeight="1">
      <c r="B143" s="2"/>
      <c r="C143" s="2"/>
      <c r="D143" s="2"/>
      <c r="E143" s="2"/>
      <c r="F143" s="2"/>
      <c r="G143" s="2"/>
      <c r="H143" s="2"/>
      <c r="I143" s="2"/>
      <c r="J143" s="43"/>
      <c r="K143" s="42"/>
      <c r="L143" s="42"/>
      <c r="M143" s="2"/>
      <c r="N143" s="4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2:25" ht="45" customHeight="1">
      <c r="B144" s="2"/>
      <c r="C144" s="2"/>
      <c r="D144" s="2"/>
      <c r="E144" s="2"/>
      <c r="F144" s="2"/>
      <c r="G144" s="2"/>
      <c r="H144" s="2"/>
      <c r="I144" s="2"/>
      <c r="J144" s="43"/>
      <c r="K144" s="42"/>
      <c r="L144" s="42"/>
      <c r="M144" s="2"/>
      <c r="N144" s="4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</sheetData>
  <sheetProtection algorithmName="SHA-512" hashValue="Yitmsl3dXSoY+s9h7oNxHbfBrDfcGk6WLeluDeUD6M3QiPYxuD89/uRc55nPNuhjFM3Z0YuZGUhABMCPW6J1/Q==" saltValue="JG7bNDx2n6v6Pno1OKq8mQ==" spinCount="100000" sheet="1" objects="1" scenarios="1"/>
  <dataConsolidate/>
  <mergeCells count="155">
    <mergeCell ref="Y84:AB84"/>
    <mergeCell ref="Y75:AB75"/>
    <mergeCell ref="Y76:AB76"/>
    <mergeCell ref="Y77:AB77"/>
    <mergeCell ref="Y78:AB78"/>
    <mergeCell ref="Y79:AB79"/>
    <mergeCell ref="Y80:AB80"/>
    <mergeCell ref="Y81:AB81"/>
    <mergeCell ref="Y82:AB82"/>
    <mergeCell ref="Y83:AB83"/>
    <mergeCell ref="Y16:AB16"/>
    <mergeCell ref="Y17:AB17"/>
    <mergeCell ref="Y18:AB18"/>
    <mergeCell ref="Y19:AB19"/>
    <mergeCell ref="Y20:AB20"/>
    <mergeCell ref="Y21:AB21"/>
    <mergeCell ref="Y22:AB22"/>
    <mergeCell ref="Y23:AB23"/>
    <mergeCell ref="Y24:AB24"/>
    <mergeCell ref="Y70:AB70"/>
    <mergeCell ref="Y71:AB71"/>
    <mergeCell ref="Y72:AB72"/>
    <mergeCell ref="Y73:AB73"/>
    <mergeCell ref="Y74:AB74"/>
    <mergeCell ref="Y59:AB59"/>
    <mergeCell ref="Y60:AB60"/>
    <mergeCell ref="Y61:AB61"/>
    <mergeCell ref="Y62:AB62"/>
    <mergeCell ref="Y63:AB63"/>
    <mergeCell ref="Y64:AB64"/>
    <mergeCell ref="Y65:AB65"/>
    <mergeCell ref="Y66:AB66"/>
    <mergeCell ref="Y67:AB67"/>
    <mergeCell ref="Y52:AB52"/>
    <mergeCell ref="Y53:AB53"/>
    <mergeCell ref="Y54:AB54"/>
    <mergeCell ref="Y55:AB55"/>
    <mergeCell ref="Y56:AB56"/>
    <mergeCell ref="Y57:AB57"/>
    <mergeCell ref="Y58:AB58"/>
    <mergeCell ref="Y68:AB68"/>
    <mergeCell ref="Y69:AB69"/>
    <mergeCell ref="Y43:AB43"/>
    <mergeCell ref="Y44:AB44"/>
    <mergeCell ref="Y45:AB45"/>
    <mergeCell ref="Y46:AB46"/>
    <mergeCell ref="Y47:AB47"/>
    <mergeCell ref="Y48:AB48"/>
    <mergeCell ref="Y49:AB49"/>
    <mergeCell ref="Y50:AB50"/>
    <mergeCell ref="Y51:AB51"/>
    <mergeCell ref="Y25:AB25"/>
    <mergeCell ref="Y26:AB26"/>
    <mergeCell ref="Y27:AB27"/>
    <mergeCell ref="Y28:AB28"/>
    <mergeCell ref="Y29:AB29"/>
    <mergeCell ref="Y31:AB31"/>
    <mergeCell ref="Y30:AB30"/>
    <mergeCell ref="B90:Y90"/>
    <mergeCell ref="B15:C15"/>
    <mergeCell ref="B86:Y86"/>
    <mergeCell ref="B87:Y87"/>
    <mergeCell ref="B88:Y88"/>
    <mergeCell ref="B89:Y89"/>
    <mergeCell ref="Y32:AB32"/>
    <mergeCell ref="Y33:AB33"/>
    <mergeCell ref="Y34:AB34"/>
    <mergeCell ref="Y35:AB35"/>
    <mergeCell ref="Y36:AB36"/>
    <mergeCell ref="Y37:AB37"/>
    <mergeCell ref="Y38:AB38"/>
    <mergeCell ref="Y39:AB39"/>
    <mergeCell ref="Y40:AB40"/>
    <mergeCell ref="Y41:AB41"/>
    <mergeCell ref="Y42:AB42"/>
    <mergeCell ref="I9:J9"/>
    <mergeCell ref="D14:E14"/>
    <mergeCell ref="D15:E15"/>
    <mergeCell ref="O13:X13"/>
    <mergeCell ref="O14:X14"/>
    <mergeCell ref="O15:X15"/>
    <mergeCell ref="L11:M11"/>
    <mergeCell ref="O9:X9"/>
    <mergeCell ref="O10:X10"/>
    <mergeCell ref="O11:X11"/>
    <mergeCell ref="O12:X12"/>
    <mergeCell ref="D9:E9"/>
    <mergeCell ref="D10:E10"/>
    <mergeCell ref="D11:E11"/>
    <mergeCell ref="D12:E12"/>
    <mergeCell ref="D13:E13"/>
    <mergeCell ref="F15:G15"/>
    <mergeCell ref="F13:G13"/>
    <mergeCell ref="F12:G12"/>
    <mergeCell ref="F11:G11"/>
    <mergeCell ref="B105:Y105"/>
    <mergeCell ref="B96:Y96"/>
    <mergeCell ref="B97:Y97"/>
    <mergeCell ref="B98:Y98"/>
    <mergeCell ref="B99:Y99"/>
    <mergeCell ref="B100:Y100"/>
    <mergeCell ref="B91:Y91"/>
    <mergeCell ref="B92:Y92"/>
    <mergeCell ref="B93:Y93"/>
    <mergeCell ref="B94:Y94"/>
    <mergeCell ref="B95:Y95"/>
    <mergeCell ref="B101:Y101"/>
    <mergeCell ref="B102:Y102"/>
    <mergeCell ref="B103:Y103"/>
    <mergeCell ref="B104:Y104"/>
    <mergeCell ref="O2:P2"/>
    <mergeCell ref="F3:Y3"/>
    <mergeCell ref="F4:Y4"/>
    <mergeCell ref="F5:Y5"/>
    <mergeCell ref="F7:G7"/>
    <mergeCell ref="F6:G6"/>
    <mergeCell ref="I6:J6"/>
    <mergeCell ref="B8:C8"/>
    <mergeCell ref="I7:J7"/>
    <mergeCell ref="I8:J8"/>
    <mergeCell ref="B3:E5"/>
    <mergeCell ref="O6:X6"/>
    <mergeCell ref="O7:X7"/>
    <mergeCell ref="O8:X8"/>
    <mergeCell ref="B7:C7"/>
    <mergeCell ref="D7:E7"/>
    <mergeCell ref="D8:E8"/>
    <mergeCell ref="D6:E6"/>
    <mergeCell ref="B6:C6"/>
    <mergeCell ref="M7:M8"/>
    <mergeCell ref="N7:N8"/>
    <mergeCell ref="B14:C14"/>
    <mergeCell ref="B13:C13"/>
    <mergeCell ref="F8:G8"/>
    <mergeCell ref="M9:N9"/>
    <mergeCell ref="M6:N6"/>
    <mergeCell ref="L10:M10"/>
    <mergeCell ref="L12:M12"/>
    <mergeCell ref="L15:M15"/>
    <mergeCell ref="L7:L8"/>
    <mergeCell ref="I13:J13"/>
    <mergeCell ref="I10:J10"/>
    <mergeCell ref="I12:J12"/>
    <mergeCell ref="I11:J11"/>
    <mergeCell ref="B12:C12"/>
    <mergeCell ref="B11:C11"/>
    <mergeCell ref="F10:G10"/>
    <mergeCell ref="F9:G9"/>
    <mergeCell ref="B10:C10"/>
    <mergeCell ref="B9:C9"/>
    <mergeCell ref="F14:G14"/>
    <mergeCell ref="I15:J15"/>
    <mergeCell ref="I14:J14"/>
    <mergeCell ref="L14:M14"/>
    <mergeCell ref="L13:M13"/>
  </mergeCells>
  <phoneticPr fontId="3" alignment="center"/>
  <dataValidations xWindow="868" yWindow="506" count="1">
    <dataValidation allowBlank="1" showErrorMessage="1" prompt="Ingrese si el tiro actual se esta cargando con la primera, segunda, tercera...etc. pera_x000a_" sqref="G17:G84" xr:uid="{415F7F51-220D-4984-81B3-6AFFCE353D11}"/>
  </dataValidations>
  <pageMargins left="0.59055118110236227" right="0.59055118110236227" top="0.59055118110236227" bottom="0.59055118110236227" header="0.62992125984251968" footer="0.59055118110236227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868" yWindow="506" count="23">
        <x14:dataValidation type="list" allowBlank="1" showInputMessage="1" showErrorMessage="1" prompt="Ingrese los metro de cama de explosivo._x000a_" xr:uid="{00000000-0002-0000-0000-000008000000}">
          <x14:formula1>
            <xm:f>Hoja1!$H$3:$H$28</xm:f>
          </x14:formula1>
          <xm:sqref>Y120 Y111 T85:X85 T106:X144</xm:sqref>
        </x14:dataValidation>
        <x14:dataValidation type="list" allowBlank="1" showInputMessage="1" showErrorMessage="1" prompt="Ingrese la cantidad de gredas que se utilizaron para confinar el tiro" xr:uid="{00000000-0002-0000-0000-000001000000}">
          <x14:formula1>
            <xm:f>Hoja1!$B$3:$B$52</xm:f>
          </x14:formula1>
          <xm:sqref>N85 N106:N144</xm:sqref>
        </x14:dataValidation>
        <x14:dataValidation type="list" allowBlank="1" showInputMessage="1" showErrorMessage="1" prompt="Seleccione el APD utilizado" xr:uid="{00000000-0002-0000-0000-000003000000}">
          <x14:formula1>
            <xm:f>Hoja1!$D$4:$D$7</xm:f>
          </x14:formula1>
          <xm:sqref>O85 O106:O144</xm:sqref>
        </x14:dataValidation>
        <x14:dataValidation type="list" allowBlank="1" showInputMessage="1" showErrorMessage="1" xr:uid="{00000000-0002-0000-0000-000006000000}">
          <x14:formula1>
            <xm:f>Hoja1!$F$3:$F$5</xm:f>
          </x14:formula1>
          <xm:sqref>R106:R144 R85 K17:K84</xm:sqref>
        </x14:dataValidation>
        <x14:dataValidation type="list" allowBlank="1" showInputMessage="1" showErrorMessage="1" xr:uid="{00000000-0002-0000-0000-000007000000}">
          <x14:formula1>
            <xm:f>Hoja1!$G$3:$G$4</xm:f>
          </x14:formula1>
          <xm:sqref>S106:S144 S85 L17:L84</xm:sqref>
        </x14:dataValidation>
        <x14:dataValidation type="list" allowBlank="1" showInputMessage="1" showErrorMessage="1" xr:uid="{CA2E8BAE-9508-4893-89B3-C40AF47757D8}">
          <x14:formula1>
            <xm:f>Hoja1!$M$3:$M$4</xm:f>
          </x14:formula1>
          <xm:sqref>M106:M144 M85</xm:sqref>
        </x14:dataValidation>
        <x14:dataValidation type="list" allowBlank="1" showInputMessage="1" showErrorMessage="1" xr:uid="{33CEF9F8-A779-4B6B-A42F-4D6C7EA85E12}">
          <x14:formula1>
            <xm:f>Hoja1!$E$3:$E$8</xm:f>
          </x14:formula1>
          <xm:sqref>Q85 Q106:Q144</xm:sqref>
        </x14:dataValidation>
        <x14:dataValidation type="list" allowBlank="1" showInputMessage="1" showErrorMessage="1" xr:uid="{5B3E6D23-361A-482D-83F0-0F6F9F8FC4A5}">
          <x14:formula1>
            <xm:f>Hoja1!$K$3:$K$11</xm:f>
          </x14:formula1>
          <xm:sqref>D8:E8</xm:sqref>
        </x14:dataValidation>
        <x14:dataValidation type="list" allowBlank="1" showInputMessage="1" showErrorMessage="1" xr:uid="{2F8A34B1-635D-4B61-8254-7127B66D9F91}">
          <x14:formula1>
            <xm:f>Hoja1!$L$3:$L$5</xm:f>
          </x14:formula1>
          <xm:sqref>D7:E7</xm:sqref>
        </x14:dataValidation>
        <x14:dataValidation type="list" allowBlank="1" showInputMessage="1" showErrorMessage="1" xr:uid="{3E540A0E-7A63-4369-97D0-48F07AC8692A}">
          <x14:formula1>
            <xm:f>Hoja1!$J$3:$J$8</xm:f>
          </x14:formula1>
          <xm:sqref>D13:E13</xm:sqref>
        </x14:dataValidation>
        <x14:dataValidation type="list" allowBlank="1" showInputMessage="1" showErrorMessage="1" xr:uid="{A1F01D4B-9848-4A54-A181-BED16CB07426}">
          <x14:formula1>
            <xm:f>Hoja1!$I$3:$I$7</xm:f>
          </x14:formula1>
          <xm:sqref>D12:E12</xm:sqref>
        </x14:dataValidation>
        <x14:dataValidation type="list" allowBlank="1" showErrorMessage="1" prompt="Ingrese los metro de cama de explosivo._x000a_" xr:uid="{765A0A29-587C-4097-BDBE-85195F0AD22A}">
          <x14:formula1>
            <xm:f>Hoja1!$H$3:$H$28</xm:f>
          </x14:formula1>
          <xm:sqref>O37:O84</xm:sqref>
        </x14:dataValidation>
        <x14:dataValidation type="list" allowBlank="1" showInputMessage="1" showErrorMessage="1" xr:uid="{C708D714-B23A-4897-8CB6-5081B68D1BE8}">
          <x14:formula1>
            <xm:f>Hoja1!$E$3:$E$11</xm:f>
          </x14:formula1>
          <xm:sqref>J17:J84</xm:sqref>
        </x14:dataValidation>
        <x14:dataValidation type="list" allowBlank="1" showErrorMessage="1" prompt="Ingrese si el tiro actual se esta cargando con la primera, segunda, tercera...etc. pera_x000a_" xr:uid="{59D92F22-9C54-4223-BF9C-320E34793820}">
          <x14:formula1>
            <xm:f>Hoja1!$A$3:$A$32</xm:f>
          </x14:formula1>
          <xm:sqref>E17:E84</xm:sqref>
        </x14:dataValidation>
        <x14:dataValidation type="list" allowBlank="1" showInputMessage="1" showErrorMessage="1" prompt="Ingrese cantidad de cebos= _x000a_*Un cebo puede estar formado por 1 iniciador más varios APD" xr:uid="{00000000-0002-0000-0000-000000000000}">
          <x14:formula1>
            <xm:f>Hoja1!#REF!</xm:f>
          </x14:formula1>
          <xm:sqref>K85:L85 K106:L144</xm:sqref>
        </x14:dataValidation>
        <x14:dataValidation type="list" allowBlank="1" showErrorMessage="1" prompt="Ingrese los metro de cama de explosivo._x000a_" xr:uid="{4327E12D-CBCB-4CB1-94D2-76AB1815D839}">
          <x14:formula1>
            <xm:f>Hoja1!$H$3:$H$43</xm:f>
          </x14:formula1>
          <xm:sqref>O17:O36</xm:sqref>
        </x14:dataValidation>
        <x14:dataValidation type="list" allowBlank="1" showInputMessage="1" showErrorMessage="1" xr:uid="{51FA40A6-530F-4D34-BB1A-C89BE1285BA8}">
          <x14:formula1>
            <xm:f>Hoja1!$Q$3:$Q$5</xm:f>
          </x14:formula1>
          <xm:sqref>D9:E9</xm:sqref>
        </x14:dataValidation>
        <x14:dataValidation type="list" allowBlank="1" showInputMessage="1" showErrorMessage="1" xr:uid="{9CEF383D-3A85-44CF-A9E5-8EAFFA63188B}">
          <x14:formula1>
            <xm:f>Hoja1!$R$3:$R$6</xm:f>
          </x14:formula1>
          <xm:sqref>D10:E10</xm:sqref>
        </x14:dataValidation>
        <x14:dataValidation type="list" allowBlank="1" showInputMessage="1" showErrorMessage="1" xr:uid="{DAEE93DA-BF9D-4D0C-B41F-D809C3AAEA86}">
          <x14:formula1>
            <xm:f>Hoja1!$N$3:$N$5</xm:f>
          </x14:formula1>
          <xm:sqref>H14</xm:sqref>
        </x14:dataValidation>
        <x14:dataValidation type="list" allowBlank="1" showInputMessage="1" showErrorMessage="1" prompt="Si se usaron 2 tipos de APD distintos, seleccione la opción &quot;Especial&quot; e indique el detalle en observaciones." xr:uid="{00000000-0002-0000-0000-000004000000}">
          <x14:formula1>
            <xm:f>Hoja1!#REF!</xm:f>
          </x14:formula1>
          <xm:sqref>P85 P106:P144</xm:sqref>
        </x14:dataValidation>
        <x14:dataValidation type="list" allowBlank="1" showInputMessage="1" showErrorMessage="1" xr:uid="{4B425BB6-4D69-484F-B664-8884ECEDE1A9}">
          <x14:formula1>
            <xm:f>Hoja1!$T$3:$T$7</xm:f>
          </x14:formula1>
          <xm:sqref>M9:N9</xm:sqref>
        </x14:dataValidation>
        <x14:dataValidation type="list" allowBlank="1" showInputMessage="1" showErrorMessage="1" xr:uid="{CE69D8E5-984D-4713-9268-A9C85B7BD028}">
          <x14:formula1>
            <xm:f>Hoja1!$Z$3:$Z$23</xm:f>
          </x14:formula1>
          <xm:sqref>H17:H84</xm:sqref>
        </x14:dataValidation>
        <x14:dataValidation type="list" allowBlank="1" showInputMessage="1" showErrorMessage="1" xr:uid="{61DDA467-D0BE-431C-937A-A21C37DCD0E6}">
          <x14:formula1>
            <xm:f>Hoja1!$AA$3:$AA$48</xm:f>
          </x14:formula1>
          <xm:sqref>I17:I84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JEJ</vt:lpstr>
      <vt:lpstr>JEJ!Área_de_impresión</vt:lpstr>
      <vt:lpstr>JEJ!Títulos_a_imprimir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espinoza</dc:creator>
  <cp:keywords/>
  <dc:description/>
  <cp:lastModifiedBy>Ignacio Salinas</cp:lastModifiedBy>
  <cp:revision/>
  <cp:lastPrinted>2023-08-10T20:18:55Z</cp:lastPrinted>
  <dcterms:created xsi:type="dcterms:W3CDTF">2015-06-05T18:19:34Z</dcterms:created>
  <dcterms:modified xsi:type="dcterms:W3CDTF">2026-10-12T01:04:32Z</dcterms:modified>
  <cp:category/>
  <cp:contentStatus/>
</cp:coreProperties>
</file>